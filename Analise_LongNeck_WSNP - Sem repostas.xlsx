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bin" ContentType="application/vnd.openxmlformats-officedocument.spreadsheetml.printerSettings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Default Extension="emf" ContentType="image/x-emf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9821071\OneDrive - Anheuser-Busch InBev\Desktop\"/>
    </mc:Choice>
  </mc:AlternateContent>
  <bookViews>
    <workbookView xWindow="-110" yWindow="-110" windowWidth="19420" windowHeight="10420" activeTab="0"/>
  </bookViews>
  <sheets>
    <sheet name="Cenário atual BR" sheetId="8" r:id="rId3"/>
    <sheet name="Custos de transferência" sheetId="9" r:id="rId4"/>
    <sheet name="Produção PCP" sheetId="2" r:id="rId5"/>
    <sheet name="Transferências Programadas" sheetId="5" r:id="rId6"/>
    <sheet name="Cenário Divulgado" sheetId="12" r:id="rId7"/>
    <sheet name="Cenário com Nova Demanda" sheetId="10" r:id="rId8"/>
  </sheets>
  <definedNames>
    <definedName name="_xlnm._FilterDatabase" localSheetId="1" hidden="1">'Custos de transferência'!$B$3:$E$9</definedName>
    <definedName name="_xlnm._FilterDatabase" localSheetId="2" hidden="1">'Produção PCP'!$A$2:$J$15</definedName>
    <definedName name="_xlfn.IFERROR" hidden="1">#NAME?</definedName>
    <definedName name="_xlfn.SINGLE" hidden="1">#NAME?</definedName>
    <definedName name="_xlfn.SUMIFS" hidden="1">#NAME?</definedName>
    <definedName name="_xlfn.XLOOKUP" hidden="1">#NAME?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8" l="1"/>
</calcChain>
</file>

<file path=xl/sharedStrings.xml><?xml version="1.0" encoding="utf-8"?>
<sst xmlns="http://schemas.openxmlformats.org/spreadsheetml/2006/main" count="642" uniqueCount="95">
  <si>
    <t>Janeiro</t>
  </si>
  <si>
    <t>Fevereiro</t>
  </si>
  <si>
    <t>Demanda</t>
  </si>
  <si>
    <t>PROD</t>
  </si>
  <si>
    <t>Estoque</t>
  </si>
  <si>
    <t>SK 269</t>
  </si>
  <si>
    <t>GEO/REG</t>
  </si>
  <si>
    <t>Real</t>
  </si>
  <si>
    <t>WSNP</t>
  </si>
  <si>
    <t>EI Mês</t>
  </si>
  <si>
    <t>Suf.ini(d)</t>
  </si>
  <si>
    <t>Transf. Malha</t>
  </si>
  <si>
    <t>EFM</t>
  </si>
  <si>
    <t>Suf. f (d)</t>
  </si>
  <si>
    <t>LONG NECK</t>
  </si>
  <si>
    <t>MG</t>
  </si>
  <si>
    <t>SP</t>
  </si>
  <si>
    <t>NENO</t>
  </si>
  <si>
    <t>CO</t>
  </si>
  <si>
    <t>RJ</t>
  </si>
  <si>
    <t>SUL</t>
  </si>
  <si>
    <t>Export</t>
  </si>
  <si>
    <t>TOTAL</t>
  </si>
  <si>
    <t>SCSItem.[Item]</t>
  </si>
  <si>
    <t>BR16 - F. JACAREI - PLANT - SP</t>
  </si>
  <si>
    <t>BR04 - F. CAMACARI - PLANT - BA</t>
  </si>
  <si>
    <t>BR06 - F. FONTE MATA - RDC - PB</t>
  </si>
  <si>
    <t>BR23 - F. JAGUARIUNA - PLANT - SP</t>
  </si>
  <si>
    <t>Crítica PCPs</t>
  </si>
  <si>
    <t>SCSLocation.[Location]</t>
  </si>
  <si>
    <t>Nominal [grf/hora]</t>
  </si>
  <si>
    <t>Capacity Semanal [hl]</t>
  </si>
  <si>
    <t>Container Type</t>
  </si>
  <si>
    <t>BR03 - F. AQUIRAZ - PLANT - CE</t>
  </si>
  <si>
    <t>L541</t>
  </si>
  <si>
    <t>LONG NECK 330ML</t>
  </si>
  <si>
    <t>LONG NECK 355ML</t>
  </si>
  <si>
    <t>BR31 - F. PERNAMBUCO - PLANT - PE</t>
  </si>
  <si>
    <t>LONG NECK 269ML</t>
  </si>
  <si>
    <t>Regional Origem</t>
  </si>
  <si>
    <t>Geo Destino</t>
  </si>
  <si>
    <t>Desc Destino</t>
  </si>
  <si>
    <t>Cod Produto</t>
  </si>
  <si>
    <t>Desc Produto</t>
  </si>
  <si>
    <t>REG SE</t>
  </si>
  <si>
    <t>REG NE</t>
  </si>
  <si>
    <t>F. CAMACARI</t>
  </si>
  <si>
    <t>F. FONTE MATA</t>
  </si>
  <si>
    <t>CDR Bahia</t>
  </si>
  <si>
    <t>REG SE Total</t>
  </si>
  <si>
    <t>Grand Total</t>
  </si>
  <si>
    <t>EI Semana</t>
  </si>
  <si>
    <t>EF Semana</t>
  </si>
  <si>
    <t>Malha</t>
  </si>
  <si>
    <t>Mapapi</t>
  </si>
  <si>
    <t>NE Norte</t>
  </si>
  <si>
    <t>NE Sul</t>
  </si>
  <si>
    <t>NO Araguaia</t>
  </si>
  <si>
    <t>NO Centro</t>
  </si>
  <si>
    <t>* Aba "Tranf. Malha" &gt; 0: recebe produto; &lt;0: exporta produto</t>
  </si>
  <si>
    <t>Reais / HL</t>
  </si>
  <si>
    <t xml:space="preserve">Prod: Produção </t>
  </si>
  <si>
    <t xml:space="preserve">Real: Realizado de produção </t>
  </si>
  <si>
    <t xml:space="preserve">EI: Estoque inicial </t>
  </si>
  <si>
    <t xml:space="preserve">Suficiencia em dias: Estoque/ Linear de demanda </t>
  </si>
  <si>
    <t>Transferencia malha: Volume a ser recebido (+); volume a ser enviado (-)</t>
  </si>
  <si>
    <t>1W: volume programado para produção no mês</t>
  </si>
  <si>
    <t>SKU</t>
  </si>
  <si>
    <t xml:space="preserve">Origem </t>
  </si>
  <si>
    <t>Destino</t>
  </si>
  <si>
    <t>Linha</t>
  </si>
  <si>
    <t xml:space="preserve">WSNP: Weekly Supply Network Planning </t>
  </si>
  <si>
    <t xml:space="preserve">Demanda: Volume previsto de venda </t>
  </si>
  <si>
    <t>PATAGONIA AMBER LAGER LN355ML CX12</t>
  </si>
  <si>
    <t>GOOSE ISLAND MIDWAY NAC LN 355ML CX C/12</t>
  </si>
  <si>
    <t>MALZBIER BRAHMA LN355ML SIX PAC BAND C/4</t>
  </si>
  <si>
    <t>COLORADO LAGER LN 355ML CX C/12</t>
  </si>
  <si>
    <t>BRAHMA CHOPP ZERO LN 355 SIXP CX CART C4</t>
  </si>
  <si>
    <t>SKOL BEATS SENSES LN 269ML SIXPACK SH C4</t>
  </si>
  <si>
    <t>BUDWEISER ZERO LN 330ML SIX-PACK SH C/4</t>
  </si>
  <si>
    <t>W0 - 02/02/2026</t>
  </si>
  <si>
    <t>W1 - 09/02/2026</t>
  </si>
  <si>
    <t>W2 - 16/02/2026</t>
  </si>
  <si>
    <t>W3 - 23/02/2026</t>
  </si>
  <si>
    <t xml:space="preserve"> </t>
  </si>
  <si>
    <t>1W</t>
  </si>
  <si>
    <t>Trânsito</t>
  </si>
  <si>
    <t>Custo de Transferências</t>
  </si>
  <si>
    <t>MACOs - Produção Interna</t>
  </si>
  <si>
    <t>Custo de Produção</t>
  </si>
  <si>
    <t>Transf. Interna</t>
  </si>
  <si>
    <t>Transf. Ext (Cabo)</t>
  </si>
  <si>
    <t>Transf. Ext (Rodo)</t>
  </si>
  <si>
    <t>Modal</t>
  </si>
  <si>
    <t>Cabotagem</t>
  </si>
</sst>
</file>

<file path=xl/styles.xml><?xml version="1.0" encoding="utf-8"?>
<styleSheet xmlns="http://schemas.openxmlformats.org/spreadsheetml/2006/main">
  <numFmts count="5">
    <numFmt numFmtId="44" formatCode="_-&quot;R$&quot;\ * #,##0.00_-;\-&quot;R$&quot;\ * #,##0.00_-;_-&quot;R$&quot;\ * &quot;-&quot;??_-;_-@_-"/>
    <numFmt numFmtId="164" formatCode="#,##0.00;\(#,##0.00\)"/>
    <numFmt numFmtId="165" formatCode="#,##0_ ;[Red]\-#,##0\ "/>
    <numFmt numFmtId="166" formatCode="_(* #,##0_);_(* \(#,##0\);_(* &quot;-&quot;??_);_(@_)"/>
    <numFmt numFmtId="167" formatCode="_-&quot;R$&quot;\ * #,##0_-;\-&quot;R$&quot;\ * #,##0_-;_-&quot;R$&quot;\ * &quot;-&quot;??_-;_-@_-"/>
  </numFmts>
  <fonts count="1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3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0003962517"/>
        <bgColor indexed="64"/>
      </patternFill>
    </fill>
    <fill>
      <patternFill patternType="solid">
        <fgColor theme="0" tint="-0.0499799996614456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0" tint="-0.149990007281303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0" tint="-0.249970003962517"/>
        <bgColor indexed="64"/>
      </patternFill>
    </fill>
    <fill>
      <patternFill patternType="solid">
        <fgColor theme="0" tint="-0.499969989061356"/>
        <bgColor indexed="64"/>
      </patternFill>
    </fill>
    <fill>
      <patternFill patternType="solid">
        <fgColor theme="4" tint="-0.249970003962517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hair">
        <color theme="0" tint="-0.149990007281303"/>
      </left>
      <right/>
      <top style="hair">
        <color theme="0" tint="-0.149990007281303"/>
      </top>
      <bottom/>
    </border>
    <border>
      <left/>
      <right/>
      <top style="hair">
        <color theme="0" tint="-0.149990007281303"/>
      </top>
      <bottom/>
    </border>
    <border>
      <left/>
      <right style="hair">
        <color theme="0" tint="-0.149990007281303"/>
      </right>
      <top/>
      <bottom/>
    </border>
    <border>
      <left style="hair">
        <color theme="0" tint="-0.149990007281303"/>
      </left>
      <right style="hair">
        <color theme="0" tint="-0.149990007281303"/>
      </right>
      <top style="hair">
        <color theme="0" tint="-0.149990007281303"/>
      </top>
      <bottom style="hair">
        <color theme="0" tint="-0.149990007281303"/>
      </bottom>
    </border>
    <border>
      <left/>
      <right style="hair">
        <color theme="0" tint="-0.149990007281303"/>
      </right>
      <top style="hair">
        <color theme="0" tint="-0.149990007281303"/>
      </top>
      <bottom style="hair">
        <color theme="0" tint="-0.149990007281303"/>
      </bottom>
    </border>
    <border>
      <left style="hair">
        <color theme="0" tint="-0.149990007281303"/>
      </left>
      <right style="hair">
        <color theme="0" tint="-0.149990007281303"/>
      </right>
      <top style="hair">
        <color theme="0" tint="-0.149990007281303"/>
      </top>
      <bottom/>
    </border>
    <border>
      <left style="hair">
        <color theme="0" tint="-0.149990007281303"/>
      </left>
      <right style="hair">
        <color theme="0" tint="-0.149990007281303"/>
      </right>
      <top/>
      <bottom/>
    </border>
    <border>
      <left style="hair">
        <color theme="0" tint="-0.149990007281303"/>
      </left>
      <right style="hair">
        <color theme="0" tint="-0.149990007281303"/>
      </right>
      <top/>
      <bottom style="hair">
        <color theme="0" tint="-0.149990007281303"/>
      </bottom>
    </border>
    <border>
      <left/>
      <right style="hair">
        <color theme="0" tint="-0.149990007281303"/>
      </right>
      <top/>
      <bottom style="hair">
        <color theme="0" tint="-0.149990007281303"/>
      </bottom>
    </border>
    <border>
      <left/>
      <right style="hair">
        <color theme="0" tint="-0.149990007281303"/>
      </right>
      <top style="hair">
        <color theme="0" tint="-0.149990007281303"/>
      </top>
      <bottom/>
    </border>
    <border>
      <left style="hair">
        <color theme="0" tint="-0.149990007281303"/>
      </left>
      <right style="hair">
        <color theme="0" tint="-0.149990007281303"/>
      </right>
      <top style="medium">
        <color auto="1"/>
      </top>
      <bottom style="medium">
        <color auto="1"/>
      </bottom>
    </border>
    <border>
      <left style="medium">
        <color auto="1"/>
      </left>
      <right style="hair">
        <color theme="0" tint="-0.149990007281303"/>
      </right>
      <top style="medium">
        <color auto="1"/>
      </top>
      <bottom style="medium">
        <color auto="1"/>
      </bottom>
    </border>
    <border>
      <left/>
      <right/>
      <top style="medium">
        <color auto="1"/>
      </top>
      <bottom style="medium">
        <color auto="1"/>
      </bottom>
    </border>
    <border>
      <left/>
      <right style="hair">
        <color theme="0" tint="-0.149990007281303"/>
      </right>
      <top style="medium">
        <color auto="1"/>
      </top>
      <bottom style="medium">
        <color auto="1"/>
      </bottom>
    </border>
    <border>
      <left style="hair">
        <color theme="0" tint="-0.149990007281303"/>
      </left>
      <right/>
      <top/>
      <bottom style="hair">
        <color theme="0" tint="-0.149990007281303"/>
      </bottom>
    </border>
    <border>
      <left/>
      <right/>
      <top/>
      <bottom style="hair">
        <color theme="0" tint="-0.149990007281303"/>
      </bottom>
    </border>
    <border>
      <left/>
      <right/>
      <top style="thin">
        <color theme="4" tint="-0.249970003962517"/>
      </top>
      <bottom style="thin">
        <color theme="4" tint="0.799979984760284"/>
      </bottom>
    </border>
    <border>
      <left/>
      <right/>
      <top style="thin">
        <color theme="4" tint="-0.249970003962517"/>
      </top>
      <bottom style="thin">
        <color theme="4" tint="0.599990010261536"/>
      </bottom>
    </border>
    <border>
      <left/>
      <right/>
      <top style="thin">
        <color theme="4" tint="0.799979984760284"/>
      </top>
      <bottom style="thin">
        <color theme="4" tint="0.399980008602142"/>
      </bottom>
    </border>
    <border>
      <left/>
      <right/>
      <top style="thin">
        <color theme="4" tint="0.799979984760284"/>
      </top>
      <bottom style="thin">
        <color theme="4" tint="0.799979984760284"/>
      </bottom>
    </border>
    <border>
      <left/>
      <right/>
      <top style="thin">
        <color theme="4" tint="0.799979984760284"/>
      </top>
      <bottom style="thin">
        <color theme="4"/>
      </bottom>
    </border>
    <border>
      <left/>
      <right/>
      <top style="thin">
        <color theme="4" tint="0.399980008602142"/>
      </top>
      <bottom style="thin">
        <color theme="4" tint="0.399980008602142"/>
      </bottom>
    </border>
    <border>
      <left/>
      <right/>
      <top style="thin">
        <color theme="4" tint="0.399980008602142"/>
      </top>
      <bottom style="thin">
        <color theme="4" tint="0.799979984760284"/>
      </bottom>
    </border>
    <border>
      <left/>
      <right/>
      <top style="double">
        <color theme="4" tint="-0.249970003962517"/>
      </top>
      <bottom/>
    </border>
    <border>
      <left style="hair">
        <color theme="0" tint="-0.149990007281303"/>
      </left>
      <right style="medium">
        <color auto="1"/>
      </right>
      <top style="medium">
        <color auto="1"/>
      </top>
      <bottom style="medium">
        <color auto="1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08">
    <xf numFmtId="0" fontId="0" fillId="0" borderId="0" xfId="0"/>
    <xf numFmtId="0" fontId="5" fillId="0" borderId="0" xfId="0" applyFont="1" applyAlignment="1">
      <alignment wrapText="1"/>
    </xf>
    <xf numFmtId="0" fontId="5" fillId="0" borderId="0" xfId="0" applyFont="1">
      <alignment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3" fillId="2" borderId="0" xfId="0" applyFont="1" applyFill="1" applyAlignment="1">
      <alignment horizontal="center"/>
    </xf>
    <xf numFmtId="0" fontId="9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3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0" borderId="0" xfId="0" applyFont="1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165" fontId="2" fillId="4" borderId="0" xfId="0" applyNumberFormat="1" applyFont="1" applyFill="1" applyAlignment="1">
      <alignment horizontal="center" vertical="center" wrapText="1"/>
    </xf>
    <xf numFmtId="0" fontId="0" fillId="0" borderId="3" xfId="0" applyBorder="1">
      <alignment/>
    </xf>
    <xf numFmtId="0" fontId="0" fillId="0" borderId="4" xfId="0" applyBorder="1" applyAlignment="1">
      <alignment horizontal="left" vertical="center" wrapText="1"/>
    </xf>
    <xf numFmtId="3" fontId="0" fillId="0" borderId="4" xfId="0" applyNumberFormat="1" applyBorder="1" applyAlignment="1">
      <alignment horizontal="center"/>
    </xf>
    <xf numFmtId="3" fontId="0" fillId="5" borderId="5" xfId="0" applyNumberFormat="1" applyFill="1" applyBorder="1" applyAlignment="1">
      <alignment horizontal="center" vertical="center" wrapText="1"/>
    </xf>
    <xf numFmtId="165" fontId="0" fillId="0" borderId="4" xfId="0" applyNumberFormat="1" applyBorder="1" applyAlignment="1">
      <alignment horizontal="center" vertical="center" wrapText="1"/>
    </xf>
    <xf numFmtId="3" fontId="0" fillId="0" borderId="5" xfId="0" applyNumberFormat="1" applyBorder="1" applyAlignment="1">
      <alignment horizontal="center"/>
    </xf>
    <xf numFmtId="165" fontId="0" fillId="0" borderId="6" xfId="0" applyNumberFormat="1" applyBorder="1" applyAlignment="1">
      <alignment horizontal="center" vertical="center" wrapText="1"/>
    </xf>
    <xf numFmtId="165" fontId="0" fillId="0" borderId="7" xfId="0" applyNumberFormat="1" applyBorder="1" applyAlignment="1">
      <alignment horizontal="center" vertical="center" wrapText="1"/>
    </xf>
    <xf numFmtId="3" fontId="2" fillId="6" borderId="8" xfId="0" applyNumberFormat="1" applyFont="1" applyFill="1" applyBorder="1" applyAlignment="1">
      <alignment horizontal="left"/>
    </xf>
    <xf numFmtId="3" fontId="2" fillId="6" borderId="8" xfId="0" applyNumberFormat="1" applyFont="1" applyFill="1" applyBorder="1" applyAlignment="1">
      <alignment horizontal="center"/>
    </xf>
    <xf numFmtId="3" fontId="2" fillId="6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9" xfId="0" applyBorder="1">
      <alignment/>
    </xf>
    <xf numFmtId="0" fontId="7" fillId="0" borderId="0" xfId="0" applyFont="1">
      <alignment/>
    </xf>
    <xf numFmtId="3" fontId="0" fillId="7" borderId="4" xfId="0" applyNumberFormat="1" applyFill="1" applyBorder="1" applyAlignment="1">
      <alignment horizontal="center"/>
    </xf>
    <xf numFmtId="165" fontId="0" fillId="7" borderId="4" xfId="0" applyNumberFormat="1" applyFill="1" applyBorder="1" applyAlignment="1">
      <alignment horizontal="center" vertical="center" wrapText="1"/>
    </xf>
    <xf numFmtId="0" fontId="4" fillId="0" borderId="0" xfId="0" applyFont="1">
      <alignment/>
    </xf>
    <xf numFmtId="0" fontId="2" fillId="4" borderId="10" xfId="0" applyFont="1" applyFill="1" applyBorder="1" applyAlignment="1">
      <alignment horizontal="center" vertical="center" wrapText="1"/>
    </xf>
    <xf numFmtId="3" fontId="0" fillId="5" borderId="4" xfId="0" applyNumberFormat="1" applyFill="1" applyBorder="1" applyAlignment="1">
      <alignment horizontal="center" vertical="center" wrapText="1"/>
    </xf>
    <xf numFmtId="3" fontId="0" fillId="5" borderId="9" xfId="0" applyNumberFormat="1" applyFill="1" applyBorder="1" applyAlignment="1">
      <alignment horizontal="center" vertical="center" wrapText="1"/>
    </xf>
    <xf numFmtId="165" fontId="0" fillId="0" borderId="8" xfId="0" applyNumberFormat="1" applyBorder="1" applyAlignment="1">
      <alignment horizontal="center" vertical="center" wrapText="1"/>
    </xf>
    <xf numFmtId="3" fontId="0" fillId="5" borderId="3" xfId="0" applyNumberFormat="1" applyFill="1" applyBorder="1" applyAlignment="1">
      <alignment horizontal="center" vertical="center" wrapText="1"/>
    </xf>
    <xf numFmtId="3" fontId="0" fillId="5" borderId="10" xfId="0" applyNumberFormat="1" applyFill="1" applyBorder="1" applyAlignment="1">
      <alignment horizontal="center" vertical="center" wrapText="1"/>
    </xf>
    <xf numFmtId="3" fontId="0" fillId="5" borderId="11" xfId="0" applyNumberFormat="1" applyFill="1" applyBorder="1" applyAlignment="1">
      <alignment horizontal="center" vertical="center" wrapText="1"/>
    </xf>
    <xf numFmtId="165" fontId="0" fillId="0" borderId="11" xfId="0" applyNumberFormat="1" applyBorder="1" applyAlignment="1">
      <alignment horizontal="center" vertical="center" wrapText="1"/>
    </xf>
    <xf numFmtId="3" fontId="0" fillId="0" borderId="0" xfId="0" applyNumberFormat="1">
      <alignment/>
    </xf>
    <xf numFmtId="0" fontId="2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16" fontId="6" fillId="8" borderId="0" xfId="0" applyNumberFormat="1" applyFont="1" applyFill="1" applyAlignment="1">
      <alignment horizontal="center"/>
    </xf>
    <xf numFmtId="0" fontId="9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2" fontId="10" fillId="3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3" borderId="0" xfId="0" applyFill="1" applyAlignment="1">
      <alignment horizont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" fontId="6" fillId="8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3" fontId="0" fillId="0" borderId="11" xfId="0" applyNumberForma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3" fontId="2" fillId="6" borderId="8" xfId="0" applyNumberFormat="1" applyFont="1" applyFill="1" applyBorder="1" applyAlignment="1">
      <alignment horizontal="center" vertical="center"/>
    </xf>
    <xf numFmtId="3" fontId="2" fillId="6" borderId="16" xfId="0" applyNumberFormat="1" applyFont="1" applyFill="1" applyBorder="1" applyAlignment="1">
      <alignment horizontal="center" vertical="center"/>
    </xf>
    <xf numFmtId="3" fontId="2" fillId="6" borderId="9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67" fontId="0" fillId="0" borderId="0" xfId="2" applyNumberFormat="1" applyFont="1" applyAlignment="1">
      <alignment horizontal="center"/>
    </xf>
    <xf numFmtId="14" fontId="3" fillId="9" borderId="0" xfId="0" applyNumberFormat="1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14" fontId="3" fillId="9" borderId="0" xfId="0" applyNumberFormat="1" applyFont="1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4" fillId="10" borderId="17" xfId="0" applyFont="1" applyFill="1" applyBorder="1" applyAlignment="1">
      <alignment horizontal="center" vertical="center"/>
    </xf>
    <xf numFmtId="14" fontId="4" fillId="10" borderId="18" xfId="0" applyNumberFormat="1" applyFont="1" applyFill="1" applyBorder="1" applyAlignment="1">
      <alignment horizontal="center" vertical="center"/>
    </xf>
    <xf numFmtId="0" fontId="4" fillId="11" borderId="19" xfId="0" applyFont="1" applyFill="1" applyBorder="1" applyAlignment="1">
      <alignment horizontal="center" vertical="center"/>
    </xf>
    <xf numFmtId="0" fontId="0" fillId="12" borderId="20" xfId="0" applyFill="1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0" fontId="4" fillId="11" borderId="22" xfId="0" applyFont="1" applyFill="1" applyBorder="1" applyAlignment="1">
      <alignment horizontal="center" vertical="center"/>
    </xf>
    <xf numFmtId="0" fontId="4" fillId="11" borderId="23" xfId="0" applyFont="1" applyFill="1" applyBorder="1" applyAlignment="1">
      <alignment horizontal="center" vertical="center"/>
    </xf>
    <xf numFmtId="0" fontId="3" fillId="11" borderId="20" xfId="0" applyFont="1" applyFill="1" applyBorder="1" applyAlignment="1">
      <alignment horizontal="center" vertical="center"/>
    </xf>
    <xf numFmtId="166" fontId="3" fillId="11" borderId="20" xfId="0" applyNumberFormat="1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6" fontId="2" fillId="0" borderId="24" xfId="0" applyNumberFormat="1" applyFont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wrapText="1"/>
    </xf>
    <xf numFmtId="3" fontId="0" fillId="5" borderId="25" xfId="0" applyNumberForma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13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105">
    <dxf>
      <font>
        <color theme="7" tint="-0.249939993023872"/>
      </font>
      <border/>
    </dxf>
    <dxf>
      <font>
        <color rgb="FFFF9B9B"/>
      </font>
      <border/>
    </dxf>
    <dxf>
      <font>
        <color rgb="FFFF0000"/>
      </font>
      <border/>
    </dxf>
    <dxf>
      <font>
        <color theme="9"/>
      </font>
      <border/>
    </dxf>
    <dxf>
      <font>
        <color theme="0"/>
      </font>
      <fill>
        <patternFill>
          <bgColor theme="2" tint="-0.499969989061356"/>
        </patternFill>
      </fill>
      <border/>
    </dxf>
    <dxf>
      <font>
        <color theme="7" tint="-0.249939993023872"/>
      </font>
      <border/>
    </dxf>
    <dxf>
      <font>
        <color rgb="FFFF9B9B"/>
      </font>
      <border/>
    </dxf>
    <dxf>
      <font>
        <color rgb="FFFF0000"/>
      </font>
      <border/>
    </dxf>
    <dxf>
      <font>
        <color theme="9"/>
      </font>
      <border/>
    </dxf>
    <dxf>
      <font>
        <color theme="0"/>
      </font>
      <fill>
        <patternFill>
          <bgColor theme="2" tint="-0.499969989061356"/>
        </patternFill>
      </fill>
      <border/>
    </dxf>
    <dxf>
      <font>
        <color theme="7" tint="-0.249939993023872"/>
      </font>
      <border/>
    </dxf>
    <dxf>
      <font>
        <color rgb="FFFF9B9B"/>
      </font>
      <border/>
    </dxf>
    <dxf>
      <font>
        <color rgb="FFFF0000"/>
      </font>
      <border/>
    </dxf>
    <dxf>
      <font>
        <color theme="9"/>
      </font>
      <border/>
    </dxf>
    <dxf>
      <font>
        <color theme="0"/>
      </font>
      <fill>
        <patternFill>
          <bgColor theme="2" tint="-0.499969989061356"/>
        </patternFill>
      </fill>
      <border/>
    </dxf>
    <dxf>
      <font>
        <color theme="7" tint="-0.249939993023872"/>
      </font>
      <border/>
    </dxf>
    <dxf>
      <font>
        <color rgb="FFFF9B9B"/>
      </font>
      <border/>
    </dxf>
    <dxf>
      <font>
        <color rgb="FFFF0000"/>
      </font>
      <border/>
    </dxf>
    <dxf>
      <font>
        <color theme="9"/>
      </font>
      <border/>
    </dxf>
    <dxf>
      <font>
        <color theme="0"/>
      </font>
      <fill>
        <patternFill>
          <bgColor theme="2" tint="-0.499969989061356"/>
        </patternFill>
      </fill>
      <border/>
    </dxf>
    <dxf>
      <font>
        <color theme="7" tint="-0.249939993023872"/>
      </font>
      <border/>
    </dxf>
    <dxf>
      <font>
        <color rgb="FFFF9B9B"/>
      </font>
      <border/>
    </dxf>
    <dxf>
      <font>
        <color rgb="FFFF0000"/>
      </font>
      <border/>
    </dxf>
    <dxf>
      <font>
        <color theme="9"/>
      </font>
      <border/>
    </dxf>
    <dxf>
      <font>
        <color theme="0"/>
      </font>
      <fill>
        <patternFill>
          <bgColor theme="2" tint="-0.499969989061356"/>
        </patternFill>
      </fill>
      <border/>
    </dxf>
    <dxf>
      <font>
        <color theme="7" tint="-0.249939993023872"/>
      </font>
      <border/>
    </dxf>
    <dxf>
      <font>
        <color rgb="FFFF9B9B"/>
      </font>
      <border/>
    </dxf>
    <dxf>
      <font>
        <color rgb="FFFF0000"/>
      </font>
      <border/>
    </dxf>
    <dxf>
      <font>
        <color theme="9"/>
      </font>
      <border/>
    </dxf>
    <dxf>
      <font>
        <color theme="0"/>
      </font>
      <fill>
        <patternFill>
          <bgColor theme="2" tint="-0.499969989061356"/>
        </patternFill>
      </fill>
      <border/>
    </dxf>
    <dxf>
      <font>
        <color theme="7" tint="-0.249939993023872"/>
      </font>
      <border/>
    </dxf>
    <dxf>
      <font>
        <color rgb="FFFF9B9B"/>
      </font>
      <border/>
    </dxf>
    <dxf>
      <font>
        <color rgb="FFFF0000"/>
      </font>
      <border/>
    </dxf>
    <dxf>
      <font>
        <color theme="9"/>
      </font>
      <border/>
    </dxf>
    <dxf>
      <font>
        <color theme="0"/>
      </font>
      <fill>
        <patternFill>
          <bgColor theme="2" tint="-0.499969989061356"/>
        </patternFill>
      </fill>
      <border/>
    </dxf>
    <dxf>
      <font>
        <color theme="7" tint="-0.249939993023872"/>
      </font>
      <border/>
    </dxf>
    <dxf>
      <font>
        <color rgb="FFFF9B9B"/>
      </font>
      <border/>
    </dxf>
    <dxf>
      <font>
        <color rgb="FFFF0000"/>
      </font>
      <border/>
    </dxf>
    <dxf>
      <font>
        <color theme="9"/>
      </font>
      <border/>
    </dxf>
    <dxf>
      <font>
        <color theme="0"/>
      </font>
      <fill>
        <patternFill>
          <bgColor theme="2" tint="-0.499969989061356"/>
        </patternFill>
      </fill>
      <border/>
    </dxf>
    <dxf>
      <font>
        <color theme="7" tint="-0.249939993023872"/>
      </font>
      <border/>
    </dxf>
    <dxf>
      <font>
        <color rgb="FFFF9B9B"/>
      </font>
      <border/>
    </dxf>
    <dxf>
      <font>
        <color rgb="FFFF0000"/>
      </font>
      <border/>
    </dxf>
    <dxf>
      <font>
        <color theme="9"/>
      </font>
      <border/>
    </dxf>
    <dxf>
      <font>
        <color theme="0"/>
      </font>
      <fill>
        <patternFill>
          <bgColor theme="2" tint="-0.499969989061356"/>
        </patternFill>
      </fill>
      <border/>
    </dxf>
    <dxf>
      <font>
        <color theme="7" tint="-0.249939993023872"/>
      </font>
      <border/>
    </dxf>
    <dxf>
      <font>
        <color rgb="FFFF9B9B"/>
      </font>
      <border/>
    </dxf>
    <dxf>
      <font>
        <color rgb="FFFF0000"/>
      </font>
      <border/>
    </dxf>
    <dxf>
      <font>
        <color theme="9"/>
      </font>
      <border/>
    </dxf>
    <dxf>
      <font>
        <color theme="0"/>
      </font>
      <fill>
        <patternFill>
          <bgColor theme="2" tint="-0.499969989061356"/>
        </patternFill>
      </fill>
      <border/>
    </dxf>
    <dxf>
      <font>
        <color theme="7" tint="-0.249939993023872"/>
      </font>
      <border/>
    </dxf>
    <dxf>
      <font>
        <color rgb="FFFF9B9B"/>
      </font>
      <border/>
    </dxf>
    <dxf>
      <font>
        <color rgb="FFFF0000"/>
      </font>
      <border/>
    </dxf>
    <dxf>
      <font>
        <color theme="9"/>
      </font>
      <border/>
    </dxf>
    <dxf>
      <font>
        <color theme="0"/>
      </font>
      <fill>
        <patternFill>
          <bgColor theme="2" tint="-0.499969989061356"/>
        </patternFill>
      </fill>
      <border/>
    </dxf>
    <dxf>
      <font>
        <color theme="7" tint="-0.249939993023872"/>
      </font>
      <border/>
    </dxf>
    <dxf>
      <font>
        <color rgb="FFFF9B9B"/>
      </font>
      <border/>
    </dxf>
    <dxf>
      <font>
        <color rgb="FFFF0000"/>
      </font>
      <border/>
    </dxf>
    <dxf>
      <font>
        <color theme="9"/>
      </font>
      <border/>
    </dxf>
    <dxf>
      <font>
        <color theme="0"/>
      </font>
      <fill>
        <patternFill>
          <bgColor theme="2" tint="-0.499969989061356"/>
        </patternFill>
      </fill>
      <border/>
    </dxf>
    <dxf>
      <font>
        <color theme="7" tint="-0.249939993023872"/>
      </font>
      <border/>
    </dxf>
    <dxf>
      <font>
        <color rgb="FFFF9B9B"/>
      </font>
      <border/>
    </dxf>
    <dxf>
      <font>
        <color rgb="FFFF0000"/>
      </font>
      <border/>
    </dxf>
    <dxf>
      <font>
        <color theme="9"/>
      </font>
      <border/>
    </dxf>
    <dxf>
      <font>
        <color theme="0"/>
      </font>
      <fill>
        <patternFill>
          <bgColor theme="2" tint="-0.499969989061356"/>
        </patternFill>
      </fill>
      <border/>
    </dxf>
    <dxf>
      <font>
        <color theme="7" tint="-0.249939993023872"/>
      </font>
      <border/>
    </dxf>
    <dxf>
      <font>
        <color rgb="FFFF9B9B"/>
      </font>
      <border/>
    </dxf>
    <dxf>
      <font>
        <color rgb="FFFF0000"/>
      </font>
      <border/>
    </dxf>
    <dxf>
      <font>
        <color theme="9"/>
      </font>
      <border/>
    </dxf>
    <dxf>
      <font>
        <color theme="0"/>
      </font>
      <fill>
        <patternFill>
          <bgColor theme="2" tint="-0.499969989061356"/>
        </patternFill>
      </fill>
      <border/>
    </dxf>
    <dxf>
      <font>
        <color theme="7" tint="-0.249939993023872"/>
      </font>
      <border/>
    </dxf>
    <dxf>
      <font>
        <color rgb="FFFF9B9B"/>
      </font>
      <border/>
    </dxf>
    <dxf>
      <font>
        <color rgb="FFFF0000"/>
      </font>
      <border/>
    </dxf>
    <dxf>
      <font>
        <color theme="9"/>
      </font>
      <border/>
    </dxf>
    <dxf>
      <font>
        <color theme="0"/>
      </font>
      <fill>
        <patternFill>
          <bgColor theme="2" tint="-0.499969989061356"/>
        </patternFill>
      </fill>
      <border/>
    </dxf>
    <dxf>
      <font>
        <color theme="7" tint="-0.249939993023872"/>
      </font>
      <border/>
    </dxf>
    <dxf>
      <font>
        <color rgb="FFFF9B9B"/>
      </font>
      <border/>
    </dxf>
    <dxf>
      <font>
        <color rgb="FFFF0000"/>
      </font>
      <border/>
    </dxf>
    <dxf>
      <font>
        <color theme="9"/>
      </font>
      <border/>
    </dxf>
    <dxf>
      <font>
        <color theme="0"/>
      </font>
      <fill>
        <patternFill>
          <bgColor theme="2" tint="-0.499969989061356"/>
        </patternFill>
      </fill>
      <border/>
    </dxf>
    <dxf>
      <font>
        <color theme="7" tint="-0.249939993023872"/>
      </font>
      <border/>
    </dxf>
    <dxf>
      <font>
        <color rgb="FFFF9B9B"/>
      </font>
      <border/>
    </dxf>
    <dxf>
      <font>
        <color rgb="FFFF0000"/>
      </font>
      <border/>
    </dxf>
    <dxf>
      <font>
        <color theme="9"/>
      </font>
      <border/>
    </dxf>
    <dxf>
      <font>
        <color theme="0"/>
      </font>
      <fill>
        <patternFill>
          <bgColor theme="2" tint="-0.499969989061356"/>
        </patternFill>
      </fill>
      <border/>
    </dxf>
    <dxf>
      <font>
        <color theme="7" tint="-0.249939993023872"/>
      </font>
      <border/>
    </dxf>
    <dxf>
      <font>
        <color rgb="FFFF9B9B"/>
      </font>
      <border/>
    </dxf>
    <dxf>
      <font>
        <color rgb="FFFF0000"/>
      </font>
      <border/>
    </dxf>
    <dxf>
      <font>
        <color theme="9"/>
      </font>
      <border/>
    </dxf>
    <dxf>
      <font>
        <color theme="0"/>
      </font>
      <fill>
        <patternFill>
          <bgColor theme="2" tint="-0.499969989061356"/>
        </patternFill>
      </fill>
      <border/>
    </dxf>
    <dxf>
      <font>
        <color theme="7" tint="-0.249939993023872"/>
      </font>
      <border/>
    </dxf>
    <dxf>
      <font>
        <color rgb="FFFF9B9B"/>
      </font>
      <border/>
    </dxf>
    <dxf>
      <font>
        <color rgb="FFFF0000"/>
      </font>
      <border/>
    </dxf>
    <dxf>
      <font>
        <color theme="9"/>
      </font>
      <border/>
    </dxf>
    <dxf>
      <font>
        <color theme="0"/>
      </font>
      <fill>
        <patternFill>
          <bgColor theme="2" tint="-0.499969989061356"/>
        </patternFill>
      </fill>
      <border/>
    </dxf>
    <dxf>
      <font>
        <color theme="7" tint="-0.249939993023872"/>
      </font>
      <border/>
    </dxf>
    <dxf>
      <font>
        <color rgb="FFFF9B9B"/>
      </font>
      <border/>
    </dxf>
    <dxf>
      <font>
        <color rgb="FFFF0000"/>
      </font>
      <border/>
    </dxf>
    <dxf>
      <font>
        <color theme="9"/>
      </font>
      <border/>
    </dxf>
    <dxf>
      <font>
        <color theme="0"/>
      </font>
      <fill>
        <patternFill>
          <bgColor theme="2" tint="-0.499969989061356"/>
        </patternFill>
      </fill>
      <border/>
    </dxf>
    <dxf>
      <font>
        <color theme="7" tint="-0.249939993023872"/>
      </font>
      <border/>
    </dxf>
    <dxf>
      <font>
        <color rgb="FFFF9B9B"/>
      </font>
      <border/>
    </dxf>
    <dxf>
      <font>
        <color rgb="FFFF0000"/>
      </font>
      <border/>
    </dxf>
    <dxf>
      <font>
        <color theme="9"/>
      </font>
      <border/>
    </dxf>
    <dxf>
      <font>
        <color theme="0"/>
      </font>
      <fill>
        <patternFill>
          <bgColor theme="2" tint="-0.499969989061356"/>
        </patternFill>
      </fill>
      <border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1" Type="http://schemas.openxmlformats.org/officeDocument/2006/relationships/theme" Target="theme/theme1.xml" /><Relationship Id="rId8" Type="http://schemas.openxmlformats.org/officeDocument/2006/relationships/worksheet" Target="worksheets/sheet6.xml" /><Relationship Id="rId9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10" Type="http://schemas.openxmlformats.org/officeDocument/2006/relationships/calcChain" Target="calcChain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BDF06EF-E4A7-4A7E-A749-CE4676E983B9}">
  <sheetPr codeName=""/>
  <dimension ref="B2:Y25"/>
  <sheetViews>
    <sheetView showGridLines="0" tabSelected="1" zoomScale="70" zoomScaleNormal="70" workbookViewId="0" topLeftCell="A1">
      <selection pane="topLeft" activeCell="A1" sqref="A1"/>
    </sheetView>
  </sheetViews>
  <sheetFormatPr defaultColWidth="9.14285714285714" defaultRowHeight="14.5" outlineLevelCol="1"/>
  <cols>
    <col min="2" max="2" width="14.2857142857143" customWidth="1"/>
    <col min="4" max="4" width="10.5714285714286" customWidth="1"/>
    <col min="5" max="5" width="0.571428571428571" customWidth="1"/>
    <col min="6" max="7" width="8.71428571428571" hidden="1" customWidth="1" outlineLevel="1"/>
    <col min="8" max="8" width="8.71428571428571" collapsed="1"/>
    <col min="10" max="10" width="0.571428571428571" customWidth="1"/>
    <col min="16" max="16" width="0.714285714285714" customWidth="1"/>
    <col min="17" max="17" width="11.2857142857143" customWidth="1"/>
    <col min="18" max="18" width="9.57142857142857" customWidth="1"/>
    <col min="19" max="19" width="0.571428571428571" customWidth="1"/>
    <col min="21" max="21" width="0.571428571428571" customWidth="1"/>
    <col min="25" max="25" width="0.857142857142857" customWidth="1"/>
  </cols>
  <sheetData>
    <row r="2" spans="2:25" ht="23.5">
      <c r="B2" s="57"/>
      <c r="C2" s="58" t="s">
        <v>0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0"/>
      <c r="Q2" s="58" t="s">
        <v>1</v>
      </c>
      <c r="R2" s="58"/>
      <c r="S2" s="58"/>
      <c r="T2" s="58"/>
      <c r="U2" s="58"/>
      <c r="V2" s="58"/>
      <c r="W2" s="58"/>
      <c r="X2" s="58"/>
      <c r="Y2" s="2"/>
    </row>
    <row r="3" spans="2:25" ht="2.5" customHeight="1">
      <c r="B3" s="59"/>
      <c r="C3" s="60" t="s">
        <v>0</v>
      </c>
      <c r="D3" s="61">
        <v>26</v>
      </c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50"/>
      <c r="Q3" s="60" t="s">
        <v>1</v>
      </c>
      <c r="R3" s="61">
        <v>24</v>
      </c>
      <c r="S3" s="62"/>
      <c r="T3" s="61"/>
      <c r="U3" s="61"/>
      <c r="V3" s="61"/>
      <c r="W3" s="61"/>
      <c r="X3" s="61"/>
      <c r="Y3" s="31"/>
    </row>
    <row r="4" spans="2:25" ht="18.5">
      <c r="B4" s="63"/>
      <c r="C4" s="44" t="s">
        <v>2</v>
      </c>
      <c r="D4" s="44"/>
      <c r="E4" s="8"/>
      <c r="F4" s="44" t="s">
        <v>3</v>
      </c>
      <c r="G4" s="44"/>
      <c r="H4" s="44"/>
      <c r="I4" s="44"/>
      <c r="J4" s="8"/>
      <c r="K4" s="44" t="s">
        <v>4</v>
      </c>
      <c r="L4" s="44"/>
      <c r="M4" s="44"/>
      <c r="N4" s="44"/>
      <c r="O4" s="44"/>
      <c r="P4" s="50"/>
      <c r="Q4" s="44" t="s">
        <v>2</v>
      </c>
      <c r="R4" s="44"/>
      <c r="S4" s="50"/>
      <c r="T4" s="6" t="s">
        <v>3</v>
      </c>
      <c r="U4" s="8"/>
      <c r="V4" s="44" t="s">
        <v>4</v>
      </c>
      <c r="W4" s="44"/>
      <c r="X4" s="44"/>
      <c r="Y4" s="7"/>
    </row>
    <row r="5" spans="2:24" ht="29">
      <c r="B5" s="59" t="s">
        <v>5</v>
      </c>
      <c r="C5" s="11" t="s">
        <v>6</v>
      </c>
      <c r="D5" s="12" t="s">
        <v>2</v>
      </c>
      <c r="E5" s="8"/>
      <c r="F5" s="12" t="s">
        <v>7</v>
      </c>
      <c r="G5" s="12" t="s">
        <v>8</v>
      </c>
      <c r="H5" s="12" t="s">
        <v>7</v>
      </c>
      <c r="I5" s="32" t="s">
        <v>85</v>
      </c>
      <c r="J5" s="8"/>
      <c r="K5" s="13" t="s">
        <v>9</v>
      </c>
      <c r="L5" s="14" t="s">
        <v>10</v>
      </c>
      <c r="M5" s="13" t="s">
        <v>11</v>
      </c>
      <c r="N5" s="13" t="s">
        <v>12</v>
      </c>
      <c r="O5" s="14" t="s">
        <v>13</v>
      </c>
      <c r="P5" s="8"/>
      <c r="Q5" s="13" t="s">
        <v>6</v>
      </c>
      <c r="R5" s="12" t="s">
        <v>2</v>
      </c>
      <c r="S5" s="64"/>
      <c r="T5" s="13" t="s">
        <v>8</v>
      </c>
      <c r="U5" s="8"/>
      <c r="V5" s="13" t="s">
        <v>11</v>
      </c>
      <c r="W5" s="13" t="s">
        <v>12</v>
      </c>
      <c r="X5" s="14" t="s">
        <v>13</v>
      </c>
    </row>
    <row r="6" spans="2:24" ht="14.5">
      <c r="B6" s="42" t="s">
        <v>14</v>
      </c>
      <c r="C6" s="51" t="s">
        <v>15</v>
      </c>
      <c r="D6" s="65">
        <v>65538.324000000037</v>
      </c>
      <c r="E6" s="8"/>
      <c r="F6" s="65">
        <v>0</v>
      </c>
      <c r="G6" s="65">
        <v>0</v>
      </c>
      <c r="H6" s="65">
        <v>0</v>
      </c>
      <c r="I6" s="65">
        <v>0</v>
      </c>
      <c r="J6" s="8"/>
      <c r="K6" s="65">
        <v>28580.40</v>
      </c>
      <c r="L6" s="18">
        <v>11.338257597188472</v>
      </c>
      <c r="M6" s="19">
        <v>11585.873339999998</v>
      </c>
      <c r="N6" s="19">
        <v>32771.465459999992</v>
      </c>
      <c r="O6" s="18">
        <v>10.796472034121521</v>
      </c>
      <c r="P6" s="8"/>
      <c r="Q6" s="51" t="s">
        <v>15</v>
      </c>
      <c r="R6" s="65">
        <v>72849.275999999998</v>
      </c>
      <c r="S6" s="64"/>
      <c r="T6" s="66">
        <v>0</v>
      </c>
      <c r="U6" s="8"/>
      <c r="V6" s="19">
        <v>75118.432397142882</v>
      </c>
      <c r="W6" s="19">
        <v>35040.621857142869</v>
      </c>
      <c r="X6" s="18">
        <v>12.893727813593621</v>
      </c>
    </row>
    <row r="7" spans="2:24" ht="15" thickBot="1">
      <c r="B7" s="42"/>
      <c r="C7" s="52" t="s">
        <v>16</v>
      </c>
      <c r="D7" s="67">
        <v>173637.41399999999</v>
      </c>
      <c r="E7" s="8"/>
      <c r="F7" s="67">
        <v>127269</v>
      </c>
      <c r="G7" s="67">
        <v>15300</v>
      </c>
      <c r="H7" s="67">
        <v>256624.20</v>
      </c>
      <c r="I7" s="67">
        <v>238579.20</v>
      </c>
      <c r="J7" s="8"/>
      <c r="K7" s="67">
        <v>114472.80</v>
      </c>
      <c r="L7" s="37">
        <v>17.140849609750582</v>
      </c>
      <c r="M7" s="21">
        <v>-12423.928037142861</v>
      </c>
      <c r="N7" s="21">
        <v>120086.45182285715</v>
      </c>
      <c r="O7" s="37">
        <v>17.439383401462379</v>
      </c>
      <c r="P7" s="8"/>
      <c r="Q7" s="52" t="s">
        <v>16</v>
      </c>
      <c r="R7" s="67">
        <v>165262.42800000001</v>
      </c>
      <c r="S7" s="64"/>
      <c r="T7" s="68">
        <v>253602.25714285712</v>
      </c>
      <c r="U7" s="8"/>
      <c r="V7" s="21">
        <v>-75583.096225714296</v>
      </c>
      <c r="W7" s="21">
        <v>132843.18474000003</v>
      </c>
      <c r="X7" s="37">
        <v>25.529184935623725</v>
      </c>
    </row>
    <row r="8" spans="2:24" ht="15" thickBot="1">
      <c r="B8" s="69"/>
      <c r="C8" s="54" t="s">
        <v>17</v>
      </c>
      <c r="D8" s="70">
        <v>200754.27</v>
      </c>
      <c r="E8" s="71"/>
      <c r="F8" s="70">
        <v>70399</v>
      </c>
      <c r="G8" s="70">
        <v>9342.8571428571431</v>
      </c>
      <c r="H8" s="70">
        <v>143535.34285714285</v>
      </c>
      <c r="I8" s="70">
        <v>176297.40</v>
      </c>
      <c r="J8" s="71"/>
      <c r="K8" s="70">
        <v>136190</v>
      </c>
      <c r="L8" s="38">
        <v>15.388771556390806</v>
      </c>
      <c r="M8" s="39">
        <v>7455.6317314285634</v>
      </c>
      <c r="N8" s="39">
        <f>K8+H8-D8+M8</f>
        <v>86426.704588571432</v>
      </c>
      <c r="O8" s="38">
        <f>24*N8/R8</f>
        <v>11.544482677766441</v>
      </c>
      <c r="P8" s="71"/>
      <c r="Q8" s="55" t="s">
        <v>17</v>
      </c>
      <c r="R8" s="70">
        <v>179673.78599999999</v>
      </c>
      <c r="S8" s="72"/>
      <c r="T8" s="73">
        <v>158000</v>
      </c>
      <c r="U8" s="71"/>
      <c r="V8" s="39">
        <v>34507</v>
      </c>
      <c r="W8" s="39">
        <f>N8-R8+T8+V8</f>
        <v>99259.91858857144</v>
      </c>
      <c r="X8" s="104">
        <f>24*W8/R8</f>
        <v>13.258684525775589</v>
      </c>
    </row>
    <row r="9" spans="2:24" ht="14.5">
      <c r="B9" s="69"/>
      <c r="C9" s="56" t="s">
        <v>18</v>
      </c>
      <c r="D9" s="74">
        <v>104493.31200000001</v>
      </c>
      <c r="E9" s="8"/>
      <c r="F9" s="74">
        <v>50470</v>
      </c>
      <c r="G9" s="74">
        <v>5142.8571428571431</v>
      </c>
      <c r="H9" s="74">
        <v>100103.14285714287</v>
      </c>
      <c r="I9" s="74">
        <v>99590.400000000009</v>
      </c>
      <c r="J9" s="8"/>
      <c r="K9" s="74">
        <v>61952.40</v>
      </c>
      <c r="L9" s="34">
        <v>15.414980817145501</v>
      </c>
      <c r="M9" s="35">
        <v>7619.5714114285765</v>
      </c>
      <c r="N9" s="35">
        <v>81961.587308571441</v>
      </c>
      <c r="O9" s="34">
        <v>17.438284049182506</v>
      </c>
      <c r="P9" s="8"/>
      <c r="Q9" s="56" t="s">
        <v>18</v>
      </c>
      <c r="R9" s="74">
        <v>112802.27400000002</v>
      </c>
      <c r="S9" s="64"/>
      <c r="T9" s="75">
        <v>87685.714285714275</v>
      </c>
      <c r="U9" s="8"/>
      <c r="V9" s="35">
        <v>21793.962265714348</v>
      </c>
      <c r="W9" s="35">
        <v>78638.989860000074</v>
      </c>
      <c r="X9" s="34">
        <v>21.104261117767749</v>
      </c>
    </row>
    <row r="10" spans="2:24" ht="14.5">
      <c r="B10" s="69"/>
      <c r="C10" s="51" t="s">
        <v>19</v>
      </c>
      <c r="D10" s="65">
        <v>111219.40800000001</v>
      </c>
      <c r="E10" s="8"/>
      <c r="F10" s="65">
        <v>130770</v>
      </c>
      <c r="G10" s="65">
        <v>17571.428571428569</v>
      </c>
      <c r="H10" s="65">
        <v>267014.57142857142</v>
      </c>
      <c r="I10" s="65">
        <v>339789.60000000003</v>
      </c>
      <c r="J10" s="8"/>
      <c r="K10" s="65">
        <v>84834</v>
      </c>
      <c r="L10" s="33">
        <v>19.831826474026904</v>
      </c>
      <c r="M10" s="21">
        <v>-29886.918917142859</v>
      </c>
      <c r="N10" s="19">
        <v>87765.186831428524</v>
      </c>
      <c r="O10" s="33">
        <v>16.122266799191458</v>
      </c>
      <c r="P10" s="8"/>
      <c r="Q10" s="51" t="s">
        <v>19</v>
      </c>
      <c r="R10" s="74">
        <v>130649.40000000001</v>
      </c>
      <c r="S10" s="64"/>
      <c r="T10" s="75">
        <v>288282.85714285716</v>
      </c>
      <c r="U10" s="8"/>
      <c r="V10" s="22">
        <v>-174400.90667999999</v>
      </c>
      <c r="W10" s="19">
        <v>70997.737294285675</v>
      </c>
      <c r="X10" s="33">
        <v>20.304152309253301</v>
      </c>
    </row>
    <row r="11" spans="2:24" ht="14.5">
      <c r="B11" s="69"/>
      <c r="C11" s="76" t="s">
        <v>20</v>
      </c>
      <c r="D11" s="65">
        <v>116261.406</v>
      </c>
      <c r="E11" s="8"/>
      <c r="F11" s="65">
        <v>41205</v>
      </c>
      <c r="G11" s="65">
        <v>3985.7142857142853</v>
      </c>
      <c r="H11" s="65">
        <v>81343.285714285725</v>
      </c>
      <c r="I11" s="65">
        <v>104891.40000000001</v>
      </c>
      <c r="J11" s="8"/>
      <c r="K11" s="65">
        <v>86758.20</v>
      </c>
      <c r="L11" s="36">
        <v>19.402080859059971</v>
      </c>
      <c r="M11" s="19">
        <v>12433.157717142862</v>
      </c>
      <c r="N11" s="19">
        <v>77470.006191428532</v>
      </c>
      <c r="O11" s="36">
        <v>15.947826955166169</v>
      </c>
      <c r="P11" s="8"/>
      <c r="Q11" s="76" t="s">
        <v>20</v>
      </c>
      <c r="R11" s="67">
        <v>116585.17200000004</v>
      </c>
      <c r="S11" s="64"/>
      <c r="T11" s="68">
        <v>77748.428571428565</v>
      </c>
      <c r="U11" s="8"/>
      <c r="V11" s="19">
        <v>38221.732388571472</v>
      </c>
      <c r="W11" s="22">
        <v>76854.995151428549</v>
      </c>
      <c r="X11" s="36">
        <v>17.448639844537382</v>
      </c>
    </row>
    <row r="12" spans="2:24" ht="14.5" hidden="1">
      <c r="B12" s="69"/>
      <c r="C12" s="77" t="s">
        <v>21</v>
      </c>
      <c r="D12" s="65">
        <v>67055.400000000009</v>
      </c>
      <c r="E12" s="8"/>
      <c r="F12" s="74">
        <v>0</v>
      </c>
      <c r="G12" s="74">
        <v>0</v>
      </c>
      <c r="H12" s="74">
        <v>0</v>
      </c>
      <c r="I12" s="74">
        <v>0</v>
      </c>
      <c r="J12" s="8"/>
      <c r="K12" s="78">
        <v>0</v>
      </c>
      <c r="L12" s="33">
        <v>0</v>
      </c>
      <c r="M12" s="19">
        <v>3212.1260485714283</v>
      </c>
      <c r="N12" s="19">
        <v>-21610.982931428571</v>
      </c>
      <c r="O12" s="33">
        <v>-10.546315756010332</v>
      </c>
      <c r="P12" s="8"/>
      <c r="Q12" s="77" t="s">
        <v>21</v>
      </c>
      <c r="R12" s="66">
        <v>49179.60</v>
      </c>
      <c r="S12" s="64"/>
      <c r="T12" s="66">
        <v>0</v>
      </c>
      <c r="U12" s="8"/>
      <c r="V12" s="35">
        <v>38158.082820000003</v>
      </c>
      <c r="W12" s="19">
        <v>-32632.500111428573</v>
      </c>
      <c r="X12" s="33">
        <v>-26.905649776183726</v>
      </c>
    </row>
    <row r="13" spans="2:24" ht="14.5">
      <c r="B13" s="69"/>
      <c r="C13" s="79" t="s">
        <v>22</v>
      </c>
      <c r="D13" s="79">
        <v>838959.53399999999</v>
      </c>
      <c r="E13" s="8"/>
      <c r="F13" s="80">
        <v>420113</v>
      </c>
      <c r="G13" s="80">
        <v>51342.857142857138</v>
      </c>
      <c r="H13" s="80">
        <v>848620.54285714286</v>
      </c>
      <c r="I13" s="80">
        <v>959148</v>
      </c>
      <c r="J13" s="8"/>
      <c r="K13" s="80">
        <v>495419.40</v>
      </c>
      <c r="L13" s="25">
        <v>15.353427523001365</v>
      </c>
      <c r="M13" s="80">
        <v>-4.4867057142870639</v>
      </c>
      <c r="N13" s="80">
        <f>SUM(N6:N11)</f>
        <v>486481.40220285708</v>
      </c>
      <c r="O13" s="25">
        <f>24*N13/T13</f>
        <v>13.525907901628671</v>
      </c>
      <c r="P13" s="8"/>
      <c r="Q13" s="79" t="s">
        <v>22</v>
      </c>
      <c r="R13" s="81">
        <v>827001.9360000001</v>
      </c>
      <c r="S13" s="64"/>
      <c r="T13" s="80">
        <v>863199.25714285707</v>
      </c>
      <c r="U13" s="8"/>
      <c r="V13" s="80">
        <v>-118.01982857140247</v>
      </c>
      <c r="W13" s="80">
        <f>SUM(W6:W11)</f>
        <v>493635.44749142864</v>
      </c>
      <c r="X13" s="25">
        <f>24*W13/R13</f>
        <v>14.325541723755149</v>
      </c>
    </row>
    <row r="19" spans="4:4" ht="14.5">
      <c r="D19" t="s">
        <v>72</v>
      </c>
    </row>
    <row r="20" spans="4:4" ht="14.5">
      <c r="D20" t="s">
        <v>61</v>
      </c>
    </row>
    <row r="21" spans="4:4" ht="14.5">
      <c r="D21" t="s">
        <v>62</v>
      </c>
    </row>
    <row r="22" spans="4:4" ht="14.5">
      <c r="D22" t="s">
        <v>66</v>
      </c>
    </row>
    <row r="23" spans="4:4" ht="14.5">
      <c r="D23" t="s">
        <v>63</v>
      </c>
    </row>
    <row r="24" spans="4:4" ht="14.5">
      <c r="D24" t="s">
        <v>64</v>
      </c>
    </row>
    <row r="25" spans="4:4" ht="14.5">
      <c r="D25" t="s">
        <v>65</v>
      </c>
    </row>
  </sheetData>
  <sheetProtection/>
  <mergeCells count="8">
    <mergeCell ref="B6:B13"/>
    <mergeCell ref="C2:O2"/>
    <mergeCell ref="Q2:X2"/>
    <mergeCell ref="C4:D4"/>
    <mergeCell ref="F4:I4"/>
    <mergeCell ref="K4:O4"/>
    <mergeCell ref="Q4:R4"/>
    <mergeCell ref="V4:X4"/>
  </mergeCells>
  <conditionalFormatting sqref="L6:L13">
    <cfRule type="cellIs" priority="16" dxfId="104" operator="greaterThan">
      <formula>40</formula>
    </cfRule>
    <cfRule type="cellIs" priority="17" dxfId="103" operator="between">
      <formula>10</formula>
      <formula>40</formula>
    </cfRule>
    <cfRule type="cellIs" priority="18" dxfId="102" operator="lessThan">
      <formula>0</formula>
    </cfRule>
    <cfRule type="cellIs" priority="19" dxfId="101" operator="between">
      <formula>0</formula>
      <formula>4</formula>
    </cfRule>
    <cfRule type="cellIs" priority="20" dxfId="100" operator="between">
      <formula>4</formula>
      <formula>10</formula>
    </cfRule>
  </conditionalFormatting>
  <conditionalFormatting sqref="O6:O13">
    <cfRule type="cellIs" priority="11" dxfId="104" operator="greaterThan">
      <formula>40</formula>
    </cfRule>
    <cfRule type="cellIs" priority="12" dxfId="103" operator="between">
      <formula>10</formula>
      <formula>40</formula>
    </cfRule>
    <cfRule type="cellIs" priority="13" dxfId="102" operator="lessThan">
      <formula>0</formula>
    </cfRule>
    <cfRule type="cellIs" priority="14" dxfId="101" operator="between">
      <formula>0</formula>
      <formula>4</formula>
    </cfRule>
    <cfRule type="cellIs" priority="15" dxfId="100" operator="between">
      <formula>4</formula>
      <formula>10</formula>
    </cfRule>
  </conditionalFormatting>
  <conditionalFormatting sqref="X6:X13">
    <cfRule type="cellIs" priority="6" dxfId="104" operator="greaterThan">
      <formula>40</formula>
    </cfRule>
    <cfRule type="cellIs" priority="7" dxfId="103" operator="between">
      <formula>10</formula>
      <formula>40</formula>
    </cfRule>
    <cfRule type="cellIs" priority="8" dxfId="102" operator="lessThan">
      <formula>0</formula>
    </cfRule>
    <cfRule type="cellIs" priority="9" dxfId="101" operator="between">
      <formula>0</formula>
      <formula>4</formula>
    </cfRule>
    <cfRule type="cellIs" priority="10" dxfId="100" operator="between">
      <formula>4</formula>
      <formula>10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A54509F-E123-4BC9-A555-0ECDD5AA57BC}">
  <sheetPr codeName=""/>
  <dimension ref="B2:E23"/>
  <sheetViews>
    <sheetView showGridLines="0" workbookViewId="0" topLeftCell="A1">
      <selection pane="topLeft" activeCell="A1" sqref="A1"/>
    </sheetView>
  </sheetViews>
  <sheetFormatPr defaultColWidth="9.14285714285714" defaultRowHeight="14.5"/>
  <cols>
    <col min="1" max="1" width="2.85714285714286" style="48" customWidth="1"/>
    <col min="2" max="2" width="41.5714285714286" style="48" customWidth="1"/>
    <col min="3" max="3" width="30.2857142857143" style="48" customWidth="1"/>
    <col min="4" max="4" width="28.5714285714286" style="48" customWidth="1"/>
    <col min="5" max="5" width="13.5714285714286" style="48" customWidth="1"/>
    <col min="6" max="16384" width="8.71428571428571" style="48"/>
  </cols>
  <sheetData>
    <row r="2" spans="2:5" ht="14.5">
      <c r="B2" s="106" t="s">
        <v>87</v>
      </c>
      <c r="C2" s="106"/>
      <c r="D2" s="106"/>
      <c r="E2" s="106"/>
    </row>
    <row r="3" spans="2:5" ht="14.5">
      <c r="B3" s="82" t="s">
        <v>67</v>
      </c>
      <c r="C3" s="82" t="s">
        <v>68</v>
      </c>
      <c r="D3" s="82" t="s">
        <v>69</v>
      </c>
      <c r="E3" s="82" t="s">
        <v>60</v>
      </c>
    </row>
    <row r="4" spans="2:5" ht="14.5">
      <c r="B4" s="82" t="s">
        <v>76</v>
      </c>
      <c r="C4" s="82" t="s">
        <v>24</v>
      </c>
      <c r="D4" s="82" t="s">
        <v>25</v>
      </c>
      <c r="E4" s="83">
        <v>76.592890677228496</v>
      </c>
    </row>
    <row r="5" spans="2:5" ht="14.5">
      <c r="B5" s="82" t="s">
        <v>76</v>
      </c>
      <c r="C5" s="82" t="s">
        <v>24</v>
      </c>
      <c r="D5" s="82" t="s">
        <v>26</v>
      </c>
      <c r="E5" s="83">
        <v>82.079979879094296</v>
      </c>
    </row>
    <row r="6" spans="2:5" ht="14.5">
      <c r="B6" s="82" t="s">
        <v>74</v>
      </c>
      <c r="C6" s="82" t="s">
        <v>24</v>
      </c>
      <c r="D6" s="82" t="s">
        <v>25</v>
      </c>
      <c r="E6" s="83">
        <v>82.395382395574103</v>
      </c>
    </row>
    <row r="7" spans="2:5" ht="14.5">
      <c r="B7" s="82" t="s">
        <v>75</v>
      </c>
      <c r="C7" s="82" t="s">
        <v>27</v>
      </c>
      <c r="D7" s="82" t="s">
        <v>25</v>
      </c>
      <c r="E7" s="83">
        <v>84.579425204621998</v>
      </c>
    </row>
    <row r="8" spans="2:5" ht="14.5">
      <c r="B8" s="82" t="s">
        <v>74</v>
      </c>
      <c r="C8" s="82" t="s">
        <v>24</v>
      </c>
      <c r="D8" s="82" t="s">
        <v>26</v>
      </c>
      <c r="E8" s="83">
        <v>88.298160173365602</v>
      </c>
    </row>
    <row r="9" spans="2:5" ht="14.5">
      <c r="B9" s="82" t="s">
        <v>75</v>
      </c>
      <c r="C9" s="82" t="s">
        <v>27</v>
      </c>
      <c r="D9" s="82" t="s">
        <v>26</v>
      </c>
      <c r="E9" s="83">
        <v>95.328282828504598</v>
      </c>
    </row>
    <row r="12" spans="2:5" ht="14.5">
      <c r="B12" s="106" t="s">
        <v>88</v>
      </c>
      <c r="C12" s="106"/>
      <c r="D12" s="106"/>
      <c r="E12" s="106"/>
    </row>
    <row r="13" spans="2:5" ht="14.5">
      <c r="B13" s="105" t="s">
        <v>67</v>
      </c>
      <c r="C13" s="105"/>
      <c r="D13" s="105"/>
      <c r="E13" s="82" t="s">
        <v>60</v>
      </c>
    </row>
    <row r="14" spans="2:5" ht="14.5">
      <c r="B14" s="105" t="s">
        <v>76</v>
      </c>
      <c r="C14" s="105"/>
      <c r="D14" s="105"/>
      <c r="E14" s="83">
        <v>300</v>
      </c>
    </row>
    <row r="15" spans="2:5" ht="14.5">
      <c r="B15" s="105" t="s">
        <v>74</v>
      </c>
      <c r="C15" s="105" t="s">
        <v>24</v>
      </c>
      <c r="D15" s="105" t="s">
        <v>26</v>
      </c>
      <c r="E15" s="83">
        <v>350</v>
      </c>
    </row>
    <row r="16" spans="2:5" ht="14.5">
      <c r="B16" s="105" t="s">
        <v>75</v>
      </c>
      <c r="C16" s="105" t="s">
        <v>24</v>
      </c>
      <c r="D16" s="105" t="s">
        <v>25</v>
      </c>
      <c r="E16" s="83">
        <v>285</v>
      </c>
    </row>
    <row r="19" spans="2:5" ht="14.5">
      <c r="B19" s="106" t="s">
        <v>89</v>
      </c>
      <c r="C19" s="106"/>
      <c r="D19" s="106"/>
      <c r="E19" s="106"/>
    </row>
    <row r="20" spans="2:5" ht="14.5">
      <c r="B20" s="105" t="s">
        <v>67</v>
      </c>
      <c r="C20" s="105"/>
      <c r="D20" s="105"/>
      <c r="E20" s="82" t="s">
        <v>60</v>
      </c>
    </row>
    <row r="21" spans="2:5" ht="14.5">
      <c r="B21" s="105" t="s">
        <v>76</v>
      </c>
      <c r="C21" s="105"/>
      <c r="D21" s="105"/>
      <c r="E21" s="83">
        <v>150</v>
      </c>
    </row>
    <row r="22" spans="2:5" ht="14.5">
      <c r="B22" s="105" t="s">
        <v>74</v>
      </c>
      <c r="C22" s="105" t="s">
        <v>24</v>
      </c>
      <c r="D22" s="105" t="s">
        <v>26</v>
      </c>
      <c r="E22" s="83">
        <v>155</v>
      </c>
    </row>
    <row r="23" spans="2:5" ht="14.5">
      <c r="B23" s="105" t="s">
        <v>75</v>
      </c>
      <c r="C23" s="105" t="s">
        <v>24</v>
      </c>
      <c r="D23" s="105" t="s">
        <v>25</v>
      </c>
      <c r="E23" s="83">
        <v>149</v>
      </c>
    </row>
  </sheetData>
  <sheetProtection/>
  <mergeCells count="11">
    <mergeCell ref="B19:E19"/>
    <mergeCell ref="B20:D20"/>
    <mergeCell ref="B21:D21"/>
    <mergeCell ref="B22:D22"/>
    <mergeCell ref="B23:D23"/>
    <mergeCell ref="B2:E2"/>
    <mergeCell ref="B12:E12"/>
    <mergeCell ref="B13:D13"/>
    <mergeCell ref="B14:D14"/>
    <mergeCell ref="B15:D15"/>
    <mergeCell ref="B16:D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7059055-ADEE-4571-B0BE-41E69C7D3508}">
  <sheetPr codeName=""/>
  <dimension ref="A1:K16"/>
  <sheetViews>
    <sheetView showGridLines="0" zoomScale="70" zoomScaleNormal="70" workbookViewId="0" topLeftCell="A1">
      <selection pane="topLeft" activeCell="A1" sqref="A1"/>
    </sheetView>
  </sheetViews>
  <sheetFormatPr defaultColWidth="9.14285714285714" defaultRowHeight="14.5"/>
  <cols>
    <col min="1" max="1" width="35.1428571428571" style="50" customWidth="1"/>
    <col min="2" max="4" width="25" style="50" customWidth="1"/>
    <col min="5" max="5" width="51.2857142857143" style="50" customWidth="1"/>
    <col min="6" max="7" width="17.4285714285714" style="50" customWidth="1"/>
    <col min="8" max="8" width="12" style="50" customWidth="1"/>
    <col min="9" max="10" width="13" style="50" customWidth="1"/>
    <col min="11" max="16384" width="8.71428571428571" style="50"/>
  </cols>
  <sheetData>
    <row r="1" spans="7:10" ht="14.5">
      <c r="G1" s="84" t="s">
        <v>28</v>
      </c>
      <c r="H1" s="84"/>
      <c r="I1" s="84"/>
      <c r="J1" s="84"/>
    </row>
    <row r="2" spans="1:10" ht="14.5">
      <c r="A2" s="85" t="s">
        <v>29</v>
      </c>
      <c r="B2" s="85" t="s">
        <v>70</v>
      </c>
      <c r="C2" s="85" t="s">
        <v>30</v>
      </c>
      <c r="D2" s="85" t="s">
        <v>31</v>
      </c>
      <c r="E2" s="85" t="s">
        <v>23</v>
      </c>
      <c r="F2" s="85" t="s">
        <v>32</v>
      </c>
      <c r="G2" s="86">
        <v>46055</v>
      </c>
      <c r="H2" s="86">
        <f>G2+7</f>
        <v>46062</v>
      </c>
      <c r="I2" s="86">
        <f>H2+7</f>
        <v>46069</v>
      </c>
      <c r="J2" s="86">
        <f>I2+7</f>
        <v>46076</v>
      </c>
    </row>
    <row r="3" spans="1:10" ht="14.5">
      <c r="A3" s="45" t="s">
        <v>33</v>
      </c>
      <c r="B3" s="45" t="s">
        <v>34</v>
      </c>
      <c r="C3" s="46">
        <v>72000</v>
      </c>
      <c r="D3" s="46">
        <v>12600</v>
      </c>
      <c r="E3" s="41" t="s">
        <v>75</v>
      </c>
      <c r="F3" s="41" t="s">
        <v>36</v>
      </c>
      <c r="G3" s="102">
        <v>0</v>
      </c>
      <c r="H3" s="102">
        <v>9000</v>
      </c>
      <c r="I3" s="102">
        <v>7560</v>
      </c>
      <c r="J3" s="102">
        <v>0</v>
      </c>
    </row>
    <row r="4" spans="1:10" ht="14.5" customHeight="1">
      <c r="A4" s="45"/>
      <c r="B4" s="45"/>
      <c r="C4" s="46"/>
      <c r="D4" s="46"/>
      <c r="E4" s="41" t="s">
        <v>73</v>
      </c>
      <c r="F4" s="41" t="s">
        <v>36</v>
      </c>
      <c r="G4" s="102">
        <v>12240</v>
      </c>
      <c r="H4" s="102">
        <v>1800</v>
      </c>
      <c r="I4" s="102">
        <v>5040</v>
      </c>
      <c r="J4" s="102">
        <v>12600</v>
      </c>
    </row>
    <row r="5" spans="1:10" ht="14.5" customHeight="1">
      <c r="A5" s="45"/>
      <c r="B5" s="45"/>
      <c r="C5" s="46"/>
      <c r="D5" s="46"/>
      <c r="E5" s="41" t="s">
        <v>76</v>
      </c>
      <c r="F5" s="41" t="s">
        <v>36</v>
      </c>
      <c r="G5" s="102">
        <v>0</v>
      </c>
      <c r="H5" s="102">
        <v>0</v>
      </c>
      <c r="I5" s="102">
        <v>0</v>
      </c>
      <c r="J5" s="102">
        <v>0</v>
      </c>
    </row>
    <row r="6" spans="1:10" ht="14.5" customHeight="1">
      <c r="A6" s="41"/>
      <c r="B6" s="41"/>
      <c r="C6" s="41"/>
      <c r="D6" s="41"/>
      <c r="E6" s="41"/>
      <c r="F6" s="41"/>
      <c r="G6" s="87">
        <f>SUM(G3:G5)</f>
        <v>12240</v>
      </c>
      <c r="H6" s="87">
        <f>SUM(H3:H5)</f>
        <v>10800</v>
      </c>
      <c r="I6" s="87">
        <f>SUM(I3:I5)</f>
        <v>12600</v>
      </c>
      <c r="J6" s="87">
        <f>SUM(J3:J5)</f>
        <v>12600</v>
      </c>
    </row>
    <row r="7" spans="1:11" ht="14.5" customHeight="1">
      <c r="A7" s="41"/>
      <c r="B7" s="41"/>
      <c r="C7" s="41"/>
      <c r="D7" s="88"/>
      <c r="E7" s="41"/>
      <c r="F7" s="41"/>
      <c r="G7" s="41"/>
      <c r="H7" s="41"/>
      <c r="I7" s="41"/>
      <c r="J7" s="41"/>
      <c r="K7" s="41"/>
    </row>
    <row r="8" spans="1:10" ht="14.5" customHeight="1">
      <c r="A8" s="41"/>
      <c r="B8" s="41"/>
      <c r="C8" s="41"/>
      <c r="D8" s="41"/>
      <c r="E8" s="41"/>
      <c r="F8" s="41"/>
      <c r="G8" s="84" t="s">
        <v>28</v>
      </c>
      <c r="H8" s="84"/>
      <c r="I8" s="84"/>
      <c r="J8" s="84"/>
    </row>
    <row r="9" spans="1:10" ht="14.5" customHeight="1">
      <c r="A9" s="85" t="s">
        <v>29</v>
      </c>
      <c r="B9" s="85" t="s">
        <v>70</v>
      </c>
      <c r="C9" s="85" t="s">
        <v>30</v>
      </c>
      <c r="D9" s="85" t="s">
        <v>31</v>
      </c>
      <c r="E9" s="85" t="s">
        <v>23</v>
      </c>
      <c r="F9" s="85" t="s">
        <v>32</v>
      </c>
      <c r="G9" s="86">
        <v>46055</v>
      </c>
      <c r="H9" s="86">
        <f>G9+7</f>
        <v>46062</v>
      </c>
      <c r="I9" s="86">
        <f>H9+7</f>
        <v>46069</v>
      </c>
      <c r="J9" s="86">
        <f>I9+7</f>
        <v>46076</v>
      </c>
    </row>
    <row r="10" spans="1:10" ht="14.5">
      <c r="A10" s="45" t="s">
        <v>37</v>
      </c>
      <c r="B10" s="45" t="s">
        <v>34</v>
      </c>
      <c r="C10" s="46">
        <v>108000</v>
      </c>
      <c r="D10" s="46">
        <v>27000</v>
      </c>
      <c r="E10" s="41" t="s">
        <v>77</v>
      </c>
      <c r="F10" s="41" t="s">
        <v>36</v>
      </c>
      <c r="G10" s="102">
        <v>0</v>
      </c>
      <c r="H10" s="102">
        <v>0</v>
      </c>
      <c r="I10" s="102">
        <v>0</v>
      </c>
      <c r="J10" s="102">
        <v>3600</v>
      </c>
    </row>
    <row r="11" spans="1:10" ht="14.5">
      <c r="A11" s="45"/>
      <c r="B11" s="45"/>
      <c r="C11" s="46"/>
      <c r="D11" s="46"/>
      <c r="E11" s="41" t="s">
        <v>74</v>
      </c>
      <c r="F11" s="41" t="s">
        <v>35</v>
      </c>
      <c r="G11" s="102">
        <v>5400</v>
      </c>
      <c r="H11" s="102">
        <v>14400</v>
      </c>
      <c r="I11" s="102">
        <v>0</v>
      </c>
      <c r="J11" s="102">
        <v>12600</v>
      </c>
    </row>
    <row r="12" spans="1:10" ht="14.5">
      <c r="A12" s="45"/>
      <c r="B12" s="45"/>
      <c r="C12" s="46"/>
      <c r="D12" s="46"/>
      <c r="E12" s="41" t="s">
        <v>75</v>
      </c>
      <c r="F12" s="41" t="s">
        <v>35</v>
      </c>
      <c r="G12" s="102">
        <v>16200</v>
      </c>
      <c r="H12" s="102">
        <v>0</v>
      </c>
      <c r="I12" s="102">
        <v>12960</v>
      </c>
      <c r="J12" s="102">
        <v>0</v>
      </c>
    </row>
    <row r="13" spans="1:10" ht="14.5">
      <c r="A13" s="45"/>
      <c r="B13" s="45"/>
      <c r="C13" s="46"/>
      <c r="D13" s="46"/>
      <c r="E13" s="41" t="s">
        <v>76</v>
      </c>
      <c r="F13" s="41" t="s">
        <v>36</v>
      </c>
      <c r="G13" s="102">
        <v>5400</v>
      </c>
      <c r="H13" s="102">
        <v>0</v>
      </c>
      <c r="I13" s="102">
        <v>10800</v>
      </c>
      <c r="J13" s="102">
        <v>0</v>
      </c>
    </row>
    <row r="14" spans="1:10" ht="14.5">
      <c r="A14" s="45"/>
      <c r="B14" s="45"/>
      <c r="C14" s="46"/>
      <c r="D14" s="46"/>
      <c r="E14" s="41" t="s">
        <v>78</v>
      </c>
      <c r="F14" s="41" t="s">
        <v>38</v>
      </c>
      <c r="G14" s="102">
        <v>0</v>
      </c>
      <c r="H14" s="102">
        <v>0</v>
      </c>
      <c r="I14" s="102">
        <v>3240</v>
      </c>
      <c r="J14" s="102">
        <v>0</v>
      </c>
    </row>
    <row r="15" spans="1:10" ht="14.5">
      <c r="A15" s="45"/>
      <c r="B15" s="45"/>
      <c r="C15" s="46"/>
      <c r="D15" s="46"/>
      <c r="E15" s="41" t="s">
        <v>79</v>
      </c>
      <c r="F15" s="41" t="s">
        <v>35</v>
      </c>
      <c r="G15" s="102">
        <v>0</v>
      </c>
      <c r="H15" s="102">
        <v>5400</v>
      </c>
      <c r="I15" s="102">
        <v>0</v>
      </c>
      <c r="J15" s="102">
        <v>10800</v>
      </c>
    </row>
    <row r="16" spans="4:10" ht="14.5">
      <c r="D16" s="41"/>
      <c r="G16" s="87">
        <f>SUM(G10:G15)</f>
        <v>27000</v>
      </c>
      <c r="H16" s="87">
        <f>SUM(H10:H15)</f>
        <v>19800</v>
      </c>
      <c r="I16" s="87">
        <f>SUM(I10:I15)</f>
        <v>27000</v>
      </c>
      <c r="J16" s="87">
        <f>SUM(J10:J15)</f>
        <v>27000</v>
      </c>
    </row>
  </sheetData>
  <sheetProtection/>
  <mergeCells count="10">
    <mergeCell ref="A3:A5"/>
    <mergeCell ref="B3:B5"/>
    <mergeCell ref="B10:B15"/>
    <mergeCell ref="A10:A15"/>
    <mergeCell ref="G1:J1"/>
    <mergeCell ref="G8:J8"/>
    <mergeCell ref="C3:C5"/>
    <mergeCell ref="C10:C15"/>
    <mergeCell ref="D3:D5"/>
    <mergeCell ref="D10:D15"/>
  </mergeCells>
  <pageMargins left="0.7" right="0.7" top="0.75" bottom="0.75" header="0.3" footer="0.3"/>
  <pageSetup orientation="portrait" paperSize="9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AB12119-F11D-4983-A25D-B40734A34CC0}">
  <sheetPr codeName=""/>
  <dimension ref="B3:K8"/>
  <sheetViews>
    <sheetView showGridLines="0" workbookViewId="0" topLeftCell="A1">
      <selection pane="topLeft" activeCell="A1" sqref="A1"/>
    </sheetView>
  </sheetViews>
  <sheetFormatPr defaultColWidth="9.14285714285714" defaultRowHeight="14.5"/>
  <cols>
    <col min="1" max="1" width="3" style="50" customWidth="1"/>
    <col min="2" max="2" width="14.5714285714286" style="50" customWidth="1"/>
    <col min="3" max="3" width="11" style="50" customWidth="1"/>
    <col min="4" max="5" width="13.8571428571429" style="50" customWidth="1"/>
    <col min="6" max="6" width="11.2857142857143" style="50" customWidth="1"/>
    <col min="7" max="7" width="41.2857142857143" style="50" customWidth="1"/>
    <col min="8" max="11" width="10.4285714285714" style="50" customWidth="1"/>
    <col min="12" max="12" width="8.71428571428571" style="50"/>
    <col min="13" max="13" width="10.1428571428571" style="50" customWidth="1"/>
    <col min="14" max="16384" width="8.71428571428571" style="50"/>
  </cols>
  <sheetData>
    <row r="3" spans="2:11" ht="14.5">
      <c r="B3" s="89" t="s">
        <v>39</v>
      </c>
      <c r="C3" s="89" t="s">
        <v>40</v>
      </c>
      <c r="D3" s="89" t="s">
        <v>41</v>
      </c>
      <c r="E3" s="89" t="s">
        <v>93</v>
      </c>
      <c r="F3" s="89" t="s">
        <v>42</v>
      </c>
      <c r="G3" s="89" t="s">
        <v>43</v>
      </c>
      <c r="H3" s="90">
        <v>46267</v>
      </c>
      <c r="I3" s="90">
        <f>H3+7</f>
        <v>46274</v>
      </c>
      <c r="J3" s="90">
        <f>I3+7</f>
        <v>46281</v>
      </c>
      <c r="K3" s="90">
        <f>J3+7</f>
        <v>46288</v>
      </c>
    </row>
    <row r="4" spans="2:11" ht="14.5">
      <c r="B4" s="91" t="s">
        <v>44</v>
      </c>
      <c r="C4" s="92" t="s">
        <v>45</v>
      </c>
      <c r="D4" s="93" t="s">
        <v>46</v>
      </c>
      <c r="E4" s="93" t="s">
        <v>94</v>
      </c>
      <c r="F4" s="94">
        <v>65758</v>
      </c>
      <c r="G4" s="94" t="s">
        <v>74</v>
      </c>
      <c r="H4" s="95">
        <v>7200</v>
      </c>
      <c r="I4" s="95">
        <v>7200</v>
      </c>
      <c r="J4" s="95">
        <v>7200</v>
      </c>
      <c r="K4" s="95">
        <v>7200</v>
      </c>
    </row>
    <row r="5" spans="2:11" ht="14.5">
      <c r="B5" s="96" t="s">
        <v>44</v>
      </c>
      <c r="C5" s="92" t="s">
        <v>45</v>
      </c>
      <c r="D5" s="93" t="s">
        <v>47</v>
      </c>
      <c r="E5" s="93" t="s">
        <v>94</v>
      </c>
      <c r="F5" s="94">
        <v>65758</v>
      </c>
      <c r="G5" s="94" t="s">
        <v>74</v>
      </c>
      <c r="H5" s="95">
        <v>4107.4380000000001</v>
      </c>
      <c r="I5" s="95">
        <v>0</v>
      </c>
      <c r="J5" s="95">
        <v>0</v>
      </c>
      <c r="K5" s="95">
        <v>0</v>
      </c>
    </row>
    <row r="6" spans="2:11" ht="14.5">
      <c r="B6" s="97" t="s">
        <v>44</v>
      </c>
      <c r="C6" s="93" t="s">
        <v>45</v>
      </c>
      <c r="D6" s="93" t="s">
        <v>48</v>
      </c>
      <c r="E6" s="93" t="s">
        <v>94</v>
      </c>
      <c r="F6" s="94">
        <v>65758</v>
      </c>
      <c r="G6" s="94" t="s">
        <v>74</v>
      </c>
      <c r="H6" s="95">
        <v>5400</v>
      </c>
      <c r="I6" s="95">
        <v>5400</v>
      </c>
      <c r="J6" s="95">
        <v>5400</v>
      </c>
      <c r="K6" s="95">
        <v>5400</v>
      </c>
    </row>
    <row r="7" spans="2:11" ht="15" thickBot="1">
      <c r="B7" s="98" t="s">
        <v>49</v>
      </c>
      <c r="C7" s="98"/>
      <c r="D7" s="98"/>
      <c r="E7" s="98"/>
      <c r="F7" s="98"/>
      <c r="G7" s="98"/>
      <c r="H7" s="99">
        <v>16707.438000000002</v>
      </c>
      <c r="I7" s="99">
        <v>12600</v>
      </c>
      <c r="J7" s="99">
        <v>12600</v>
      </c>
      <c r="K7" s="99">
        <v>12600</v>
      </c>
    </row>
    <row r="8" spans="2:11" ht="15" thickTop="1">
      <c r="B8" s="100" t="s">
        <v>50</v>
      </c>
      <c r="C8" s="100"/>
      <c r="D8" s="100"/>
      <c r="E8" s="100"/>
      <c r="F8" s="100"/>
      <c r="G8" s="100"/>
      <c r="H8" s="101">
        <v>16707.438000000002</v>
      </c>
      <c r="I8" s="101">
        <v>12600</v>
      </c>
      <c r="J8" s="101">
        <v>12600</v>
      </c>
      <c r="K8" s="101">
        <v>12600</v>
      </c>
    </row>
  </sheetData>
  <sheetProtection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C8A31F3-7487-4897-9028-A91848A345CD}">
  <sheetPr codeName=""/>
  <dimension ref="A2:AW49"/>
  <sheetViews>
    <sheetView showGridLines="0" zoomScale="40" zoomScaleNormal="40" workbookViewId="0" topLeftCell="A1">
      <pane xSplit="3" ySplit="4" topLeftCell="D5" activePane="bottomRight" state="frozen"/>
      <selection pane="topLeft" activeCell="A1" sqref="A1"/>
      <selection pane="topRight" activeCell="D1" sqref="D1"/>
      <selection pane="bottomLeft" activeCell="A6" sqref="A6"/>
      <selection pane="bottomRight" activeCell="B1" sqref="B1"/>
    </sheetView>
  </sheetViews>
  <sheetFormatPr defaultColWidth="9.14285714285714" defaultRowHeight="14.5"/>
  <cols>
    <col min="1" max="1" width="10.1428571428571" hidden="1" customWidth="1"/>
    <col min="2" max="2" width="51.8571428571429" style="26" customWidth="1"/>
    <col min="3" max="3" width="13.1428571428571" customWidth="1"/>
    <col min="4" max="4" width="12.5714285714286" customWidth="1"/>
    <col min="5" max="5" width="1.14285714285714" customWidth="1"/>
    <col min="6" max="6" width="9.85714285714286" customWidth="1"/>
    <col min="7" max="7" width="1.14285714285714" customWidth="1"/>
    <col min="8" max="8" width="14" customWidth="1"/>
    <col min="9" max="10" width="12.4285714285714" customWidth="1"/>
    <col min="11" max="11" width="15" customWidth="1"/>
    <col min="12" max="12" width="14.5714285714286" customWidth="1"/>
    <col min="13" max="13" width="11.4285714285714" customWidth="1"/>
    <col min="14" max="14" width="14.1428571428571" customWidth="1"/>
    <col min="15" max="15" width="11.8571428571429" customWidth="1"/>
    <col min="16" max="16" width="1.14285714285714" customWidth="1"/>
    <col min="17" max="17" width="14.8571428571429" customWidth="1"/>
    <col min="18" max="18" width="1.14285714285714" customWidth="1"/>
    <col min="19" max="19" width="11.1428571428571" customWidth="1"/>
    <col min="20" max="20" width="1.14285714285714" customWidth="1"/>
    <col min="21" max="21" width="14.4285714285714" customWidth="1"/>
    <col min="22" max="23" width="18.1428571428571" customWidth="1"/>
    <col min="24" max="24" width="11.4285714285714" customWidth="1"/>
    <col min="25" max="25" width="14.1428571428571" customWidth="1"/>
    <col min="26" max="26" width="11.8571428571429" customWidth="1"/>
    <col min="27" max="27" width="1.14285714285714" customWidth="1"/>
    <col min="28" max="28" width="14.8571428571429" customWidth="1"/>
    <col min="29" max="29" width="1.14285714285714" customWidth="1"/>
    <col min="30" max="30" width="9.85714285714286" customWidth="1"/>
    <col min="31" max="31" width="1.14285714285714" customWidth="1"/>
    <col min="32" max="32" width="14.8571428571429" customWidth="1"/>
    <col min="33" max="34" width="18.1428571428571" customWidth="1"/>
    <col min="35" max="35" width="11.4285714285714" customWidth="1"/>
    <col min="36" max="36" width="14.1428571428571" customWidth="1"/>
    <col min="37" max="37" width="11.8571428571429" customWidth="1"/>
    <col min="38" max="38" width="1.14285714285714" customWidth="1"/>
    <col min="39" max="39" width="14.8571428571429" customWidth="1"/>
    <col min="40" max="40" width="1.14285714285714" customWidth="1"/>
    <col min="41" max="41" width="9.85714285714286" customWidth="1"/>
    <col min="42" max="42" width="1.14285714285714" customWidth="1"/>
    <col min="43" max="43" width="14.8571428571429" customWidth="1"/>
    <col min="44" max="45" width="18.1428571428571" customWidth="1"/>
    <col min="46" max="46" width="11.4285714285714" customWidth="1"/>
    <col min="47" max="47" width="14.1428571428571" customWidth="1"/>
    <col min="48" max="48" width="11.8571428571429" customWidth="1"/>
    <col min="49" max="49" width="1.14285714285714" customWidth="1"/>
  </cols>
  <sheetData>
    <row r="2" spans="2:49" ht="23.5">
      <c r="B2" s="1"/>
      <c r="C2" s="43" t="s">
        <v>80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2"/>
      <c r="Q2" s="43" t="s">
        <v>81</v>
      </c>
      <c r="R2" s="43"/>
      <c r="S2" s="43"/>
      <c r="T2" s="43"/>
      <c r="U2" s="43"/>
      <c r="V2" s="43"/>
      <c r="W2" s="43"/>
      <c r="X2" s="43"/>
      <c r="Y2" s="43"/>
      <c r="Z2" s="43"/>
      <c r="AA2" s="2"/>
      <c r="AB2" s="43" t="s">
        <v>82</v>
      </c>
      <c r="AC2" s="43"/>
      <c r="AD2" s="43"/>
      <c r="AE2" s="43"/>
      <c r="AF2" s="43"/>
      <c r="AG2" s="43"/>
      <c r="AH2" s="43"/>
      <c r="AI2" s="43"/>
      <c r="AJ2" s="43"/>
      <c r="AK2" s="43"/>
      <c r="AL2" s="2"/>
      <c r="AM2" s="43" t="s">
        <v>83</v>
      </c>
      <c r="AN2" s="43"/>
      <c r="AO2" s="43"/>
      <c r="AP2" s="43"/>
      <c r="AQ2" s="43"/>
      <c r="AR2" s="43"/>
      <c r="AS2" s="43"/>
      <c r="AT2" s="43"/>
      <c r="AU2" s="43"/>
      <c r="AV2" s="43"/>
      <c r="AW2" s="2"/>
    </row>
    <row r="3" spans="2:49" ht="18.5">
      <c r="B3" s="4"/>
      <c r="C3" s="44" t="s">
        <v>2</v>
      </c>
      <c r="D3" s="44"/>
      <c r="E3" s="5"/>
      <c r="F3" s="6" t="s">
        <v>3</v>
      </c>
      <c r="G3" s="5"/>
      <c r="H3" s="44" t="s">
        <v>4</v>
      </c>
      <c r="I3" s="44"/>
      <c r="J3" s="44"/>
      <c r="K3" s="44"/>
      <c r="L3" s="44"/>
      <c r="M3" s="44"/>
      <c r="N3" s="44"/>
      <c r="O3" s="6"/>
      <c r="Q3" s="6" t="s">
        <v>2</v>
      </c>
      <c r="R3" s="7"/>
      <c r="S3" s="6" t="s">
        <v>3</v>
      </c>
      <c r="T3" s="8"/>
      <c r="U3" s="44" t="s">
        <v>4</v>
      </c>
      <c r="V3" s="44"/>
      <c r="W3" s="44"/>
      <c r="X3" s="44"/>
      <c r="Y3" s="44"/>
      <c r="Z3" s="44"/>
      <c r="AA3" s="7"/>
      <c r="AB3" s="6" t="s">
        <v>2</v>
      </c>
      <c r="AC3" s="9"/>
      <c r="AD3" s="6" t="s">
        <v>3</v>
      </c>
      <c r="AE3" s="8"/>
      <c r="AF3" s="44" t="s">
        <v>4</v>
      </c>
      <c r="AG3" s="44"/>
      <c r="AH3" s="44"/>
      <c r="AI3" s="44"/>
      <c r="AJ3" s="44"/>
      <c r="AK3" s="44"/>
      <c r="AL3" s="7"/>
      <c r="AM3" s="6" t="s">
        <v>2</v>
      </c>
      <c r="AN3" s="9"/>
      <c r="AO3" s="6" t="s">
        <v>3</v>
      </c>
      <c r="AP3" s="8"/>
      <c r="AQ3" s="44" t="s">
        <v>4</v>
      </c>
      <c r="AR3" s="44"/>
      <c r="AS3" s="44"/>
      <c r="AT3" s="44"/>
      <c r="AU3" s="44"/>
      <c r="AV3" s="44"/>
      <c r="AW3" s="7"/>
    </row>
    <row r="4" spans="2:48" ht="29">
      <c r="B4" s="10"/>
      <c r="C4" s="11" t="s">
        <v>6</v>
      </c>
      <c r="D4" s="12" t="s">
        <v>2</v>
      </c>
      <c r="E4" s="5"/>
      <c r="F4" s="12" t="s">
        <v>8</v>
      </c>
      <c r="G4" s="5"/>
      <c r="H4" s="13" t="s">
        <v>51</v>
      </c>
      <c r="I4" s="14" t="s">
        <v>10</v>
      </c>
      <c r="J4" s="13" t="s">
        <v>90</v>
      </c>
      <c r="K4" s="13" t="s">
        <v>91</v>
      </c>
      <c r="L4" s="13" t="s">
        <v>92</v>
      </c>
      <c r="M4" s="13" t="s">
        <v>86</v>
      </c>
      <c r="N4" s="13" t="s">
        <v>52</v>
      </c>
      <c r="O4" s="14" t="s">
        <v>13</v>
      </c>
      <c r="Q4" s="12" t="s">
        <v>2</v>
      </c>
      <c r="R4" s="15"/>
      <c r="S4" s="13" t="s">
        <v>8</v>
      </c>
      <c r="T4" s="5"/>
      <c r="U4" s="13" t="s">
        <v>90</v>
      </c>
      <c r="V4" s="13" t="s">
        <v>91</v>
      </c>
      <c r="W4" s="13" t="s">
        <v>92</v>
      </c>
      <c r="X4" s="13" t="s">
        <v>86</v>
      </c>
      <c r="Y4" s="13" t="s">
        <v>52</v>
      </c>
      <c r="Z4" s="14" t="s">
        <v>13</v>
      </c>
      <c r="AB4" s="13" t="s">
        <v>2</v>
      </c>
      <c r="AC4" s="5">
        <v>0</v>
      </c>
      <c r="AD4" s="13" t="s">
        <v>53</v>
      </c>
      <c r="AE4" s="8"/>
      <c r="AF4" s="13" t="s">
        <v>90</v>
      </c>
      <c r="AG4" s="13" t="s">
        <v>91</v>
      </c>
      <c r="AH4" s="13" t="s">
        <v>92</v>
      </c>
      <c r="AI4" s="13" t="s">
        <v>86</v>
      </c>
      <c r="AJ4" s="13" t="s">
        <v>52</v>
      </c>
      <c r="AK4" s="14" t="s">
        <v>13</v>
      </c>
      <c r="AM4" s="13" t="s">
        <v>2</v>
      </c>
      <c r="AN4" s="5"/>
      <c r="AO4" s="13" t="s">
        <v>53</v>
      </c>
      <c r="AP4" s="8"/>
      <c r="AQ4" s="13" t="s">
        <v>90</v>
      </c>
      <c r="AR4" s="13" t="s">
        <v>91</v>
      </c>
      <c r="AS4" s="13" t="s">
        <v>92</v>
      </c>
      <c r="AT4" s="13" t="s">
        <v>86</v>
      </c>
      <c r="AU4" s="13" t="s">
        <v>52</v>
      </c>
      <c r="AV4" s="14" t="s">
        <v>13</v>
      </c>
    </row>
    <row r="5" spans="1:48" ht="14.5" customHeight="1">
      <c r="A5">
        <v>70934</v>
      </c>
      <c r="B5" s="47" t="s">
        <v>73</v>
      </c>
      <c r="C5" s="16" t="s">
        <v>54</v>
      </c>
      <c r="D5" s="17">
        <v>2292.9119999999998</v>
      </c>
      <c r="E5" s="5"/>
      <c r="F5" s="29">
        <v>0</v>
      </c>
      <c r="G5" s="5"/>
      <c r="H5" s="17">
        <v>3440.1780000000003</v>
      </c>
      <c r="I5" s="18">
        <f t="shared" si="0" ref="I5:I10">H5/(D5/6)</f>
        <v>9.0021195754568879</v>
      </c>
      <c r="J5" s="30">
        <v>2795.4586800000011</v>
      </c>
      <c r="K5" s="30">
        <v>0</v>
      </c>
      <c r="L5" s="30">
        <v>0</v>
      </c>
      <c r="M5" s="19">
        <v>0</v>
      </c>
      <c r="N5" s="19">
        <f>H5+F5-D5+L5+M5+J5+IF(K5&lt;0,K5,0)</f>
        <v>3942.7246800000016</v>
      </c>
      <c r="O5" s="18">
        <f t="shared" si="1" ref="O5:O10">N5/(Q5/6)</f>
        <v>8.1172119969365326</v>
      </c>
      <c r="Q5" s="17">
        <v>2914.3440000000005</v>
      </c>
      <c r="R5" s="15"/>
      <c r="S5" s="29">
        <v>0</v>
      </c>
      <c r="T5" s="5"/>
      <c r="U5" s="30">
        <v>2186.2126800000005</v>
      </c>
      <c r="V5" s="30">
        <v>0</v>
      </c>
      <c r="W5" s="30">
        <v>0</v>
      </c>
      <c r="X5" s="19">
        <v>0</v>
      </c>
      <c r="Y5" s="19">
        <f>N5-Q5+S5+U5+X5+W5+IF(V5&lt;0,V5,0)</f>
        <v>3214.5933600000017</v>
      </c>
      <c r="Z5" s="18">
        <f t="shared" si="2" ref="Z5:Z10">Y5/(AB5/6)</f>
        <v>8.9207282899173368</v>
      </c>
      <c r="AB5" s="17">
        <v>2162.1059999999998</v>
      </c>
      <c r="AC5" s="5">
        <v>0</v>
      </c>
      <c r="AD5" s="29">
        <v>0</v>
      </c>
      <c r="AE5" s="8"/>
      <c r="AF5" s="30">
        <v>1726.3737000000001</v>
      </c>
      <c r="AG5" s="30">
        <v>0</v>
      </c>
      <c r="AH5" s="30">
        <v>0</v>
      </c>
      <c r="AI5" s="19">
        <v>0</v>
      </c>
      <c r="AJ5" s="19">
        <f>Y5-AB5+AD5+AF5+AI5+AH5+IF(AG5&lt;0,AG5,0)</f>
        <v>2778.861060000002</v>
      </c>
      <c r="AK5" s="18">
        <f t="shared" si="3" ref="AK5:AK10">AJ5/(AM5/6)</f>
        <v>7.1503660532328839</v>
      </c>
      <c r="AM5" s="17">
        <v>2331.7919999999999</v>
      </c>
      <c r="AN5" s="5"/>
      <c r="AO5" s="29">
        <v>0</v>
      </c>
      <c r="AP5" s="8"/>
      <c r="AQ5" s="30">
        <v>3298.0865399999998</v>
      </c>
      <c r="AR5" s="30">
        <v>0</v>
      </c>
      <c r="AS5" s="30">
        <v>0</v>
      </c>
      <c r="AT5" s="19">
        <f>IF(K5&gt;0,K5,0)</f>
        <v>0</v>
      </c>
      <c r="AU5" s="19">
        <f>AJ5-AM5+AO5+AQ5+AT5+AS5+IF(AR5&lt;0,AR5,0)</f>
        <v>3745.1556000000019</v>
      </c>
      <c r="AV5" s="18">
        <f t="shared" si="4" ref="AV5:AV10">AU5/(AM5/6)</f>
        <v>9.6367658864941692</v>
      </c>
    </row>
    <row r="6" spans="1:48" ht="14.5" customHeight="1">
      <c r="A6">
        <v>70934</v>
      </c>
      <c r="B6" s="53"/>
      <c r="C6" s="16" t="s">
        <v>55</v>
      </c>
      <c r="D6" s="17">
        <v>2675.1780000000008</v>
      </c>
      <c r="E6" s="5"/>
      <c r="F6" s="29">
        <v>0</v>
      </c>
      <c r="G6" s="5"/>
      <c r="H6" s="17">
        <v>6085.2420000000002</v>
      </c>
      <c r="I6" s="18">
        <f t="shared" si="0"/>
        <v>13.648232753110257</v>
      </c>
      <c r="J6" s="30">
        <v>1403.5570200000002</v>
      </c>
      <c r="K6" s="30">
        <v>0</v>
      </c>
      <c r="L6" s="30">
        <v>0</v>
      </c>
      <c r="M6" s="19">
        <v>0</v>
      </c>
      <c r="N6" s="19">
        <f>H6+F6-D6+L6+M6+J6+IF(K6&lt;0,K6,0)</f>
        <v>4813.6210199999996</v>
      </c>
      <c r="O6" s="18">
        <f t="shared" si="1"/>
        <v>11.578357350574755</v>
      </c>
      <c r="Q6" s="17">
        <v>2494.4579999999996</v>
      </c>
      <c r="R6" s="15"/>
      <c r="S6" s="29">
        <v>0</v>
      </c>
      <c r="T6" s="5"/>
      <c r="U6" s="30">
        <v>1831.9976999999999</v>
      </c>
      <c r="V6" s="30">
        <v>0</v>
      </c>
      <c r="W6" s="30">
        <v>0</v>
      </c>
      <c r="X6" s="19">
        <v>0</v>
      </c>
      <c r="Y6" s="19">
        <f>N6-Q6+S6+U6+X6+W6+IF(V6&lt;0,V6,0)</f>
        <v>4151.1607199999999</v>
      </c>
      <c r="Z6" s="18">
        <f t="shared" si="2"/>
        <v>13.666777682301698</v>
      </c>
      <c r="AB6" s="17">
        <v>1822.4459999999999</v>
      </c>
      <c r="AC6" s="5">
        <v>0</v>
      </c>
      <c r="AD6" s="29">
        <v>0</v>
      </c>
      <c r="AE6" s="8"/>
      <c r="AF6" s="30">
        <v>1735.9275600000001</v>
      </c>
      <c r="AG6" s="30">
        <v>0</v>
      </c>
      <c r="AH6" s="30">
        <v>0</v>
      </c>
      <c r="AI6" s="19">
        <v>0</v>
      </c>
      <c r="AJ6" s="19">
        <f>Y6-AB6+AD6+AF6+AI6+AH6+IF(AG6&lt;0,AG6,0)</f>
        <v>4064.64228</v>
      </c>
      <c r="AK6" s="18">
        <f t="shared" si="3"/>
        <v>12.15117899230507</v>
      </c>
      <c r="AM6" s="17">
        <v>2007.0360000000001</v>
      </c>
      <c r="AN6" s="5"/>
      <c r="AO6" s="29">
        <v>0</v>
      </c>
      <c r="AP6" s="8"/>
      <c r="AQ6" s="30">
        <v>1695.4333200000005</v>
      </c>
      <c r="AR6" s="30">
        <v>0</v>
      </c>
      <c r="AS6" s="30">
        <v>0</v>
      </c>
      <c r="AT6" s="19">
        <f>IF(K6&gt;0,K6,0)</f>
        <v>0</v>
      </c>
      <c r="AU6" s="19">
        <f>AJ6-AM6+AO6+AQ6+AT6+AS6+IF(AR6&lt;0,AR6,0)</f>
        <v>3753.0396000000005</v>
      </c>
      <c r="AV6" s="18">
        <f t="shared" si="4"/>
        <v>11.219648078061381</v>
      </c>
    </row>
    <row r="7" spans="1:48" ht="14.5" customHeight="1">
      <c r="A7">
        <v>70934</v>
      </c>
      <c r="B7" s="53"/>
      <c r="C7" s="16" t="s">
        <v>56</v>
      </c>
      <c r="D7" s="17">
        <v>2066.364</v>
      </c>
      <c r="E7" s="5"/>
      <c r="F7" s="29">
        <v>0</v>
      </c>
      <c r="G7" s="5"/>
      <c r="H7" s="17">
        <v>5463.7020000000011</v>
      </c>
      <c r="I7" s="18">
        <f t="shared" si="0"/>
        <v>15.864684053729162</v>
      </c>
      <c r="J7" s="30">
        <v>915.14195999999959</v>
      </c>
      <c r="K7" s="30">
        <v>0</v>
      </c>
      <c r="L7" s="30">
        <v>0</v>
      </c>
      <c r="M7" s="19">
        <v>0</v>
      </c>
      <c r="N7" s="19">
        <f>H7+F7-D7+L7+M7+J7+IF(K7&lt;0,K7,0)</f>
        <v>4312.4799600000006</v>
      </c>
      <c r="O7" s="18">
        <f t="shared" si="1"/>
        <v>11.976416306331078</v>
      </c>
      <c r="Q7" s="17">
        <v>2160.4859999999999</v>
      </c>
      <c r="R7" s="15"/>
      <c r="S7" s="29">
        <v>0</v>
      </c>
      <c r="T7" s="5"/>
      <c r="U7" s="30">
        <v>2893.8999600000002</v>
      </c>
      <c r="V7" s="30">
        <v>0</v>
      </c>
      <c r="W7" s="30">
        <v>0</v>
      </c>
      <c r="X7" s="19">
        <v>0</v>
      </c>
      <c r="Y7" s="19">
        <f>N7-Q7+S7+U7+X7+W7+IF(V7&lt;0,V7,0)</f>
        <v>5045.8939200000004</v>
      </c>
      <c r="Z7" s="18">
        <f t="shared" si="2"/>
        <v>19.356956221516363</v>
      </c>
      <c r="AB7" s="17">
        <v>1564.0560000000003</v>
      </c>
      <c r="AC7" s="5">
        <v>0</v>
      </c>
      <c r="AD7" s="29">
        <v>0</v>
      </c>
      <c r="AE7" s="8"/>
      <c r="AF7" s="30">
        <v>376.3295999999994</v>
      </c>
      <c r="AG7" s="30">
        <v>0</v>
      </c>
      <c r="AH7" s="30">
        <v>0</v>
      </c>
      <c r="AI7" s="19">
        <v>0</v>
      </c>
      <c r="AJ7" s="19">
        <f>Y7-AB7+AD7+AF7+AI7+AH7+IF(AG7&lt;0,AG7,0)</f>
        <v>3858.1675199999995</v>
      </c>
      <c r="AK7" s="18">
        <f t="shared" si="3"/>
        <v>13.378716073527725</v>
      </c>
      <c r="AM7" s="17">
        <v>1730.2860000000001</v>
      </c>
      <c r="AN7" s="5"/>
      <c r="AO7" s="29">
        <v>0</v>
      </c>
      <c r="AP7" s="8"/>
      <c r="AQ7" s="30">
        <v>5200.7891400000035</v>
      </c>
      <c r="AR7" s="30">
        <v>0</v>
      </c>
      <c r="AS7" s="30">
        <v>0</v>
      </c>
      <c r="AT7" s="19">
        <f>IF(K7&gt;0,K7,0)</f>
        <v>0</v>
      </c>
      <c r="AU7" s="19">
        <f>AJ7-AM7+AO7+AQ7+AT7+AS7+IF(AR7&lt;0,AR7,0)</f>
        <v>7328.6706600000034</v>
      </c>
      <c r="AV7" s="18">
        <f t="shared" si="4"/>
        <v>25.413153640496436</v>
      </c>
    </row>
    <row r="8" spans="1:48" ht="14.5" customHeight="1">
      <c r="A8">
        <v>70934</v>
      </c>
      <c r="B8" s="53"/>
      <c r="C8" s="16" t="s">
        <v>57</v>
      </c>
      <c r="D8" s="17">
        <v>114.17400000000001</v>
      </c>
      <c r="E8" s="5"/>
      <c r="F8" s="29">
        <v>0</v>
      </c>
      <c r="G8" s="5"/>
      <c r="H8" s="17">
        <v>0</v>
      </c>
      <c r="I8" s="18">
        <f t="shared" si="0"/>
        <v>0</v>
      </c>
      <c r="J8" s="30">
        <v>114.18156</v>
      </c>
      <c r="K8" s="30">
        <v>0</v>
      </c>
      <c r="L8" s="30">
        <v>0</v>
      </c>
      <c r="M8" s="19">
        <v>0</v>
      </c>
      <c r="N8" s="19">
        <f>H8+F8-D8+L8+M8+J8+IF(K8&lt;0,K8,0)</f>
        <v>0.0075599999999980128</v>
      </c>
      <c r="O8" s="18">
        <f t="shared" si="1"/>
        <v>0.00033364226135301696</v>
      </c>
      <c r="Q8" s="17">
        <v>135.95400000000001</v>
      </c>
      <c r="R8" s="15"/>
      <c r="S8" s="29">
        <v>0</v>
      </c>
      <c r="T8" s="5"/>
      <c r="U8" s="30">
        <v>135.95562000000001</v>
      </c>
      <c r="V8" s="30">
        <v>0</v>
      </c>
      <c r="W8" s="30">
        <v>0</v>
      </c>
      <c r="X8" s="19">
        <v>0</v>
      </c>
      <c r="Y8" s="19">
        <f>N8-Q8+S8+U8+X8+W8+IF(V8&lt;0,V8,0)</f>
        <v>0.009180000000014843</v>
      </c>
      <c r="Z8" s="18">
        <f t="shared" si="2"/>
        <v>0.0005980066445192393</v>
      </c>
      <c r="AB8" s="17">
        <v>92.106000000000009</v>
      </c>
      <c r="AC8" s="5">
        <v>0</v>
      </c>
      <c r="AD8" s="29">
        <v>0</v>
      </c>
      <c r="AE8" s="8"/>
      <c r="AF8" s="30">
        <v>92.098979999999997</v>
      </c>
      <c r="AG8" s="30">
        <v>0</v>
      </c>
      <c r="AH8" s="30">
        <v>0</v>
      </c>
      <c r="AI8" s="19">
        <v>0</v>
      </c>
      <c r="AJ8" s="19">
        <f>Y8-AB8+AD8+AF8+AI8+AH8+IF(AG8&lt;0,AG8,0)</f>
        <v>0.0021600000000034925</v>
      </c>
      <c r="AK8" s="18">
        <f t="shared" si="3"/>
        <v>0.0001343033016230487</v>
      </c>
      <c r="AM8" s="17">
        <v>96.498000000000005</v>
      </c>
      <c r="AN8" s="5"/>
      <c r="AO8" s="29">
        <v>0</v>
      </c>
      <c r="AP8" s="8"/>
      <c r="AQ8" s="30">
        <v>96.484680000000012</v>
      </c>
      <c r="AR8" s="30">
        <v>0</v>
      </c>
      <c r="AS8" s="30">
        <v>0</v>
      </c>
      <c r="AT8" s="19">
        <f>IF(K8&gt;0,K8,0)</f>
        <v>0</v>
      </c>
      <c r="AU8" s="19">
        <f>AJ8-AM8+AO8+AQ8+AT8+AS8+IF(AR8&lt;0,AR8,0)</f>
        <v>-0.011159999999989623</v>
      </c>
      <c r="AV8" s="18">
        <f t="shared" si="4"/>
        <v>-0.00069390039171731777</v>
      </c>
    </row>
    <row r="9" spans="1:48" ht="14.5" customHeight="1">
      <c r="A9">
        <v>70934</v>
      </c>
      <c r="B9" s="53"/>
      <c r="C9" s="16" t="s">
        <v>58</v>
      </c>
      <c r="D9" s="17">
        <v>1270.6560000000002</v>
      </c>
      <c r="E9" s="5"/>
      <c r="F9" s="29">
        <v>12240</v>
      </c>
      <c r="G9" s="5"/>
      <c r="H9" s="17">
        <v>4734.4740000000002</v>
      </c>
      <c r="I9" s="18">
        <f t="shared" si="0"/>
        <v>22.356046010879417</v>
      </c>
      <c r="J9" s="30">
        <f>-8583.68736+3355</f>
        <v>-5228.6873599999999</v>
      </c>
      <c r="K9" s="30">
        <v>-3355</v>
      </c>
      <c r="L9" s="30">
        <v>0</v>
      </c>
      <c r="M9" s="19">
        <v>0</v>
      </c>
      <c r="N9" s="19">
        <f>H9+F9-D9+L9+M9+J9+IF(K9&lt;0,K9,0)</f>
        <v>7120.1306400000012</v>
      </c>
      <c r="O9" s="18">
        <f>N9/(Q9/6)</f>
        <v>27.681738319065065</v>
      </c>
      <c r="Q9" s="17">
        <v>1543.2839999999999</v>
      </c>
      <c r="R9" s="15"/>
      <c r="S9" s="29">
        <v>1800</v>
      </c>
      <c r="T9" s="5"/>
      <c r="U9" s="30">
        <f>-7562.86434+515</f>
        <v>-7047.8643400000001</v>
      </c>
      <c r="V9" s="30">
        <v>-515</v>
      </c>
      <c r="W9" s="30">
        <v>0</v>
      </c>
      <c r="X9" s="19">
        <v>0</v>
      </c>
      <c r="Y9" s="19">
        <f>N9-Q9+S9+U9+X9+W9+IF(V9&lt;0,V9,0)</f>
        <v>-186.01769999999851</v>
      </c>
      <c r="Z9" s="18">
        <f t="shared" si="2"/>
        <v>-0.96036397428946796</v>
      </c>
      <c r="AB9" s="17">
        <v>1162.17</v>
      </c>
      <c r="AC9" s="5">
        <v>0</v>
      </c>
      <c r="AD9" s="29">
        <v>5040</v>
      </c>
      <c r="AE9" s="8"/>
      <c r="AF9" s="30">
        <f>-3965.65812+35</f>
        <v>-3930.6581200000001</v>
      </c>
      <c r="AG9" s="30">
        <v>-35</v>
      </c>
      <c r="AH9" s="30">
        <v>0</v>
      </c>
      <c r="AI9" s="19">
        <v>0</v>
      </c>
      <c r="AJ9" s="19">
        <f>Y9-AB9+AD9+AF9+AI9+AH9+IF(AG9&lt;0,AG9,0)</f>
        <v>-273.84581999999864</v>
      </c>
      <c r="AK9" s="18">
        <f t="shared" si="3"/>
        <v>-1.2727720687683812</v>
      </c>
      <c r="AM9" s="17">
        <v>1290.9420000000002</v>
      </c>
      <c r="AN9" s="5"/>
      <c r="AO9" s="29">
        <v>12600</v>
      </c>
      <c r="AP9" s="8"/>
      <c r="AQ9" s="30">
        <f>-11378.65986+1088</f>
        <v>-10290.65986</v>
      </c>
      <c r="AR9" s="30">
        <v>-1088</v>
      </c>
      <c r="AS9" s="30">
        <v>0</v>
      </c>
      <c r="AT9" s="19">
        <f>IF(K9&gt;0,K9,0)</f>
        <v>0</v>
      </c>
      <c r="AU9" s="19">
        <f>AJ9-AM9+AO9+AQ9+AT9+AS9+IF(AR9&lt;0,AR9,0)</f>
        <v>-343.44767999999931</v>
      </c>
      <c r="AV9" s="18">
        <f t="shared" si="4"/>
        <v>-1.5962654247828294</v>
      </c>
    </row>
    <row r="10" spans="2:48" ht="14.5" customHeight="1">
      <c r="B10" s="53"/>
      <c r="C10" s="23" t="s">
        <v>22</v>
      </c>
      <c r="D10" s="24">
        <f>(SUM(D5:D9))</f>
        <v>8419.2839999999997</v>
      </c>
      <c r="E10" s="5"/>
      <c r="F10" s="24">
        <f>(SUM(F5:F9))</f>
        <v>12240</v>
      </c>
      <c r="G10" s="5"/>
      <c r="H10" s="24">
        <f>(SUM(H5:H9))</f>
        <v>19723.596000000001</v>
      </c>
      <c r="I10" s="25">
        <f t="shared" si="0"/>
        <v>14.056014264395881</v>
      </c>
      <c r="J10" s="24">
        <f>(SUM(J5:J9))</f>
        <v>-0.34813999999823864</v>
      </c>
      <c r="K10" s="24">
        <f>(SUM(K5:K9))</f>
        <v>-3355</v>
      </c>
      <c r="L10" s="24">
        <f>(SUM(L5:L9))</f>
        <v>0</v>
      </c>
      <c r="M10" s="24">
        <f>(SUM(M5:M9))</f>
        <v>0</v>
      </c>
      <c r="N10" s="24">
        <f>H10+F10-D10+L10+M10+J10+IF(K10&lt;0,K10,0)</f>
        <v>20188.963860000003</v>
      </c>
      <c r="O10" s="25">
        <f>N10/(Q10/6)</f>
        <v>13.097631250644699</v>
      </c>
      <c r="Q10" s="24">
        <f>(SUM(Q5:Q9))</f>
        <v>9248.5259999999998</v>
      </c>
      <c r="R10" s="15"/>
      <c r="S10" s="24">
        <f>(SUM(S5:S9))</f>
        <v>1800</v>
      </c>
      <c r="T10" s="5"/>
      <c r="U10" s="24">
        <f>(SUM(U5:U9))</f>
        <v>0.20162000000073022</v>
      </c>
      <c r="V10" s="24">
        <f>(SUM(V5:V9))</f>
        <v>-515</v>
      </c>
      <c r="W10" s="24">
        <f>(SUM(W5:W9))</f>
        <v>0</v>
      </c>
      <c r="X10" s="24">
        <f>(SUM(X5:X9))</f>
        <v>0</v>
      </c>
      <c r="Y10" s="24">
        <f>N10-Q10+S10+U10+X10+W10+IF(V10&lt;0,V10,0)</f>
        <v>12225.639480000005</v>
      </c>
      <c r="Z10" s="25">
        <f t="shared" si="2"/>
        <v>10.782755795924203</v>
      </c>
      <c r="AB10" s="24">
        <f>(SUM(AB5:AB9))</f>
        <v>6802.884</v>
      </c>
      <c r="AC10" s="5">
        <v>0</v>
      </c>
      <c r="AD10" s="24">
        <f>(SUM(AD5:AD9))</f>
        <v>5040</v>
      </c>
      <c r="AE10" s="8"/>
      <c r="AF10" s="24">
        <f>(SUM(AF5:AF9))</f>
        <v>0.071719999999913853</v>
      </c>
      <c r="AG10" s="24">
        <f>(SUM(AG5:AG9))</f>
        <v>-35</v>
      </c>
      <c r="AH10" s="24">
        <f>(SUM(AH5:AH9))</f>
        <v>0</v>
      </c>
      <c r="AI10" s="24">
        <f>(SUM(AI5:AI9))</f>
        <v>0</v>
      </c>
      <c r="AJ10" s="24">
        <f>Y10-AB10+AD10+AF10+AI10+AH10+IF(AG10&lt;0,AG10,0)</f>
        <v>10427.827200000005</v>
      </c>
      <c r="AK10" s="25">
        <f t="shared" si="3"/>
        <v>8.3908683823653725</v>
      </c>
      <c r="AM10" s="24">
        <f>(SUM(AM5:AM9))</f>
        <v>7456.5539999999992</v>
      </c>
      <c r="AN10" s="5"/>
      <c r="AO10" s="24">
        <f>(SUM(AO5:AO9))</f>
        <v>12600</v>
      </c>
      <c r="AP10" s="8"/>
      <c r="AQ10" s="24">
        <f>(SUM(AQ5:AQ9))</f>
        <v>0.13382000000456173</v>
      </c>
      <c r="AR10" s="24">
        <f>(SUM(AR5:AR9))</f>
        <v>-1088</v>
      </c>
      <c r="AS10" s="24">
        <f>(SUM(AS5:AS9))</f>
        <v>0</v>
      </c>
      <c r="AT10" s="24">
        <f>IF(K10&gt;0,K10,0)</f>
        <v>0</v>
      </c>
      <c r="AU10" s="24">
        <f>AJ10-AM10+AO10+AQ10+AT10+AS10+IF(AR10&lt;0,AR10,0)</f>
        <v>14483.407020000011</v>
      </c>
      <c r="AV10" s="25">
        <f t="shared" si="4"/>
        <v>11.65423627589904</v>
      </c>
    </row>
    <row r="11" spans="2:20" ht="14.5">
      <c r="B11" s="103"/>
      <c r="E11" s="5"/>
      <c r="G11" s="5"/>
      <c r="T11" s="5"/>
    </row>
    <row r="12" spans="2:48" ht="29">
      <c r="B12" s="49"/>
      <c r="C12" s="11" t="s">
        <v>6</v>
      </c>
      <c r="D12" s="12" t="s">
        <v>2</v>
      </c>
      <c r="E12" s="5"/>
      <c r="F12" s="12" t="s">
        <v>8</v>
      </c>
      <c r="G12" s="5"/>
      <c r="H12" s="13" t="s">
        <v>51</v>
      </c>
      <c r="I12" s="14" t="s">
        <v>10</v>
      </c>
      <c r="J12" s="13" t="s">
        <v>90</v>
      </c>
      <c r="K12" s="13" t="s">
        <v>91</v>
      </c>
      <c r="L12" s="13" t="s">
        <v>92</v>
      </c>
      <c r="M12" s="13" t="s">
        <v>86</v>
      </c>
      <c r="N12" s="13" t="s">
        <v>52</v>
      </c>
      <c r="O12" s="14" t="s">
        <v>13</v>
      </c>
      <c r="Q12" s="12" t="s">
        <v>2</v>
      </c>
      <c r="R12" s="15"/>
      <c r="S12" s="12" t="s">
        <v>8</v>
      </c>
      <c r="T12" s="5"/>
      <c r="U12" s="13" t="s">
        <v>90</v>
      </c>
      <c r="V12" s="13" t="s">
        <v>91</v>
      </c>
      <c r="W12" s="13" t="s">
        <v>92</v>
      </c>
      <c r="X12" s="13" t="s">
        <v>86</v>
      </c>
      <c r="Y12" s="13" t="s">
        <v>52</v>
      </c>
      <c r="Z12" s="14" t="s">
        <v>13</v>
      </c>
      <c r="AB12" s="13" t="s">
        <v>2</v>
      </c>
      <c r="AC12" s="5">
        <v>0</v>
      </c>
      <c r="AD12" s="12" t="s">
        <v>53</v>
      </c>
      <c r="AE12" s="8"/>
      <c r="AF12" s="13" t="s">
        <v>90</v>
      </c>
      <c r="AG12" s="13" t="s">
        <v>91</v>
      </c>
      <c r="AH12" s="13" t="s">
        <v>92</v>
      </c>
      <c r="AI12" s="13" t="s">
        <v>86</v>
      </c>
      <c r="AJ12" s="13" t="s">
        <v>52</v>
      </c>
      <c r="AK12" s="14" t="s">
        <v>13</v>
      </c>
      <c r="AM12" s="13" t="s">
        <v>2</v>
      </c>
      <c r="AN12" s="5"/>
      <c r="AO12" s="12" t="s">
        <v>53</v>
      </c>
      <c r="AP12" s="8"/>
      <c r="AQ12" s="13" t="s">
        <v>90</v>
      </c>
      <c r="AR12" s="13" t="s">
        <v>91</v>
      </c>
      <c r="AS12" s="13" t="s">
        <v>92</v>
      </c>
      <c r="AT12" s="13" t="s">
        <v>86</v>
      </c>
      <c r="AU12" s="13" t="s">
        <v>52</v>
      </c>
      <c r="AV12" s="14" t="s">
        <v>13</v>
      </c>
    </row>
    <row r="13" spans="1:48" ht="14.5" customHeight="1">
      <c r="A13">
        <v>65758</v>
      </c>
      <c r="B13" s="47" t="s">
        <v>74</v>
      </c>
      <c r="C13" s="16" t="s">
        <v>54</v>
      </c>
      <c r="D13" s="17">
        <v>4732.5419999999995</v>
      </c>
      <c r="E13" s="5"/>
      <c r="F13" s="29">
        <v>0</v>
      </c>
      <c r="G13" s="5"/>
      <c r="H13" s="17">
        <v>5705.5860000000011</v>
      </c>
      <c r="I13" s="18">
        <f t="shared" si="5" ref="I13:I18">H13/(D13/6)</f>
        <v>7.233642300480378</v>
      </c>
      <c r="J13" s="30">
        <v>4246.0586999999996</v>
      </c>
      <c r="K13" s="30">
        <v>0</v>
      </c>
      <c r="L13" s="30">
        <v>0</v>
      </c>
      <c r="M13" s="19">
        <v>0</v>
      </c>
      <c r="N13" s="19">
        <f>H13+F13-D13+L13+M13+J13+IF(K13&lt;0,K13,0)</f>
        <v>5219.1027000000013</v>
      </c>
      <c r="O13" s="18">
        <f t="shared" si="6" ref="O13:O18">N13/(Q13/6)</f>
        <v>5.8634817543587658</v>
      </c>
      <c r="Q13" s="17">
        <v>5340.6180000000013</v>
      </c>
      <c r="R13" s="15"/>
      <c r="S13" s="29">
        <v>0</v>
      </c>
      <c r="T13" s="5"/>
      <c r="U13" s="30">
        <v>5220.6217199999992</v>
      </c>
      <c r="V13" s="30">
        <v>0</v>
      </c>
      <c r="W13" s="30">
        <v>0</v>
      </c>
      <c r="X13" s="19">
        <v>0</v>
      </c>
      <c r="Y13" s="19">
        <f>N13-Q13+S13+U13+X13+W13+IF(V13&lt;0,V13,0)</f>
        <v>5099.1064199999992</v>
      </c>
      <c r="Z13" s="18">
        <f t="shared" si="7" ref="Z13:Z18">Y13/(AB13/6)</f>
        <v>7.9690845668043515</v>
      </c>
      <c r="AB13" s="17">
        <v>3839.1659999999997</v>
      </c>
      <c r="AC13" s="5">
        <v>0</v>
      </c>
      <c r="AD13" s="29">
        <v>0</v>
      </c>
      <c r="AE13" s="8"/>
      <c r="AF13" s="30">
        <v>1491.7364999999995</v>
      </c>
      <c r="AG13" s="30">
        <v>0</v>
      </c>
      <c r="AH13" s="30">
        <v>0</v>
      </c>
      <c r="AI13" s="19">
        <v>0</v>
      </c>
      <c r="AJ13" s="19">
        <f>Y13-AB13+AD13+AF13+AI13+AH13+IF(AG13&lt;0,AG13,0)</f>
        <v>2751.676919999999</v>
      </c>
      <c r="AK13" s="18">
        <f t="shared" si="8" ref="AK13:AK18">AJ13/(AM13/6)</f>
        <v>3.792868679934994</v>
      </c>
      <c r="AM13" s="17">
        <v>4352.9219999999996</v>
      </c>
      <c r="AN13" s="5"/>
      <c r="AO13" s="29">
        <v>0</v>
      </c>
      <c r="AP13" s="8"/>
      <c r="AQ13" s="30">
        <v>4386.882599999999</v>
      </c>
      <c r="AR13" s="30">
        <v>0</v>
      </c>
      <c r="AS13" s="30">
        <v>0</v>
      </c>
      <c r="AT13" s="19">
        <f>IF(K13&gt;0,K13,0)</f>
        <v>0</v>
      </c>
      <c r="AU13" s="19">
        <f>AJ13-AM13+AO13+AQ13+AT13+AS13+IF(AR13&lt;0,AR13,0)</f>
        <v>2785.6375199999984</v>
      </c>
      <c r="AV13" s="18">
        <f t="shared" si="9" ref="AV13:AV18">AU13/(AM13/6)</f>
        <v>3.8396794429121384</v>
      </c>
    </row>
    <row r="14" spans="1:48" ht="14.5" customHeight="1">
      <c r="A14">
        <v>65758</v>
      </c>
      <c r="B14" s="53"/>
      <c r="C14" s="16" t="s">
        <v>55</v>
      </c>
      <c r="D14" s="17">
        <v>3887.4599999999996</v>
      </c>
      <c r="E14" s="5"/>
      <c r="F14" s="29">
        <v>5400</v>
      </c>
      <c r="G14" s="5"/>
      <c r="H14" s="17">
        <v>12370.841999999999</v>
      </c>
      <c r="I14" s="18">
        <f t="shared" si="5"/>
        <v>19.09345742464231</v>
      </c>
      <c r="J14" s="30">
        <f>-5588.87958+2083</f>
        <v>-3505.8795799999998</v>
      </c>
      <c r="K14" s="30">
        <v>2083</v>
      </c>
      <c r="L14" s="30">
        <v>0</v>
      </c>
      <c r="M14" s="19">
        <v>2000</v>
      </c>
      <c r="N14" s="19">
        <f>H14+F14-D14+L14+M14+J14+IF(K14&lt;0,K14,0)</f>
        <v>12377.502419999997</v>
      </c>
      <c r="O14" s="18">
        <f t="shared" si="6"/>
        <v>19.360932797124363</v>
      </c>
      <c r="Q14" s="17">
        <v>3835.8179999999998</v>
      </c>
      <c r="R14" s="15"/>
      <c r="S14" s="29">
        <v>14400</v>
      </c>
      <c r="T14" s="5"/>
      <c r="U14" s="30">
        <f>-8283.71592-2830</f>
        <v>-11113.715920000001</v>
      </c>
      <c r="V14" s="30">
        <v>2830</v>
      </c>
      <c r="W14" s="30">
        <v>0</v>
      </c>
      <c r="X14" s="19">
        <v>0</v>
      </c>
      <c r="Y14" s="19">
        <f>N14-Q14+S14+U14+X14+W14+IF(V14&lt;0,V14,0)</f>
        <v>11827.968499999997</v>
      </c>
      <c r="Z14" s="18">
        <f t="shared" si="7"/>
        <v>23.736784487966009</v>
      </c>
      <c r="AB14" s="17">
        <v>2989.7819999999997</v>
      </c>
      <c r="AC14" s="5">
        <v>0</v>
      </c>
      <c r="AD14" s="29">
        <v>0</v>
      </c>
      <c r="AE14" s="8"/>
      <c r="AF14" s="30">
        <f>493.9101-2762</f>
        <v>-2268.0898999999999</v>
      </c>
      <c r="AG14" s="30">
        <v>2762</v>
      </c>
      <c r="AH14" s="30">
        <v>0</v>
      </c>
      <c r="AI14" s="19">
        <v>0</v>
      </c>
      <c r="AJ14" s="19">
        <f>Y14-AB14+AD14+AF14+AI14+AH14+IF(AG14&lt;0,AG14,0)</f>
        <v>6570.096599999998</v>
      </c>
      <c r="AK14" s="18">
        <f t="shared" si="8"/>
        <v>11.942720500823434</v>
      </c>
      <c r="AM14" s="17">
        <v>3300.8039999999996</v>
      </c>
      <c r="AN14" s="5"/>
      <c r="AO14" s="29">
        <v>12600</v>
      </c>
      <c r="AP14" s="8"/>
      <c r="AQ14" s="30">
        <f>-6853.25034-2770</f>
        <v>-9623.2503399999987</v>
      </c>
      <c r="AR14" s="30">
        <v>2770</v>
      </c>
      <c r="AS14" s="30">
        <v>0</v>
      </c>
      <c r="AT14" s="19">
        <f>IF(K14&gt;0,K14,0)</f>
        <v>2083</v>
      </c>
      <c r="AU14" s="19">
        <f>AJ14-AM14+AO14+AQ14+AT14+AS14+IF(AR14&lt;0,AR14,0)</f>
        <v>8329.0422600000002</v>
      </c>
      <c r="AV14" s="18">
        <f t="shared" si="9"/>
        <v>15.14002453947584</v>
      </c>
    </row>
    <row r="15" spans="1:48" ht="14.5" customHeight="1">
      <c r="A15">
        <v>65758</v>
      </c>
      <c r="B15" s="53"/>
      <c r="C15" s="16" t="s">
        <v>56</v>
      </c>
      <c r="D15" s="17">
        <v>3197.2140000000009</v>
      </c>
      <c r="E15" s="5"/>
      <c r="F15" s="29">
        <v>0</v>
      </c>
      <c r="G15" s="5"/>
      <c r="H15" s="17">
        <v>6338.0039999999999</v>
      </c>
      <c r="I15" s="18">
        <f t="shared" si="5"/>
        <v>11.894112811966915</v>
      </c>
      <c r="J15" s="30">
        <v>-4166</v>
      </c>
      <c r="K15" s="30">
        <v>13243</v>
      </c>
      <c r="L15" s="30">
        <v>0</v>
      </c>
      <c r="M15" s="19">
        <v>2500</v>
      </c>
      <c r="N15" s="19">
        <f>H15+F15-D15+L15+M15+J15+IF(K15&lt;0,K15,0)</f>
        <v>1474.7899999999991</v>
      </c>
      <c r="O15" s="18">
        <f t="shared" si="6"/>
        <v>2.8184488488580297</v>
      </c>
      <c r="Q15" s="17">
        <v>3139.5779999999995</v>
      </c>
      <c r="R15" s="15"/>
      <c r="S15" s="29">
        <v>0</v>
      </c>
      <c r="T15" s="5"/>
      <c r="U15" s="30">
        <f>12834.4212-10000</f>
        <v>2834.4212000000007</v>
      </c>
      <c r="V15" s="30">
        <v>10000</v>
      </c>
      <c r="W15" s="30">
        <v>0</v>
      </c>
      <c r="X15" s="19">
        <v>0</v>
      </c>
      <c r="Y15" s="19">
        <f>N15-Q15+S15+U15+X15+W15+IF(V15&lt;0,V15,0)</f>
        <v>1169.6332000000002</v>
      </c>
      <c r="Z15" s="18">
        <f t="shared" si="7"/>
        <v>2.9412081846551561</v>
      </c>
      <c r="AB15" s="17">
        <v>2386.0259999999994</v>
      </c>
      <c r="AC15" s="5">
        <v>0</v>
      </c>
      <c r="AD15" s="29">
        <v>0</v>
      </c>
      <c r="AE15" s="8"/>
      <c r="AF15" s="30">
        <f>9231.91866-10000</f>
        <v>-768.08134000000064</v>
      </c>
      <c r="AG15" s="30">
        <v>10000</v>
      </c>
      <c r="AH15" s="30">
        <v>0</v>
      </c>
      <c r="AI15" s="19">
        <v>0</v>
      </c>
      <c r="AJ15" s="19">
        <f>Y15-AB15+AD15+AF15+AI15+AH15+IF(AG15&lt;0,AG15,0)</f>
        <v>-1984.4741399999998</v>
      </c>
      <c r="AK15" s="18">
        <f t="shared" si="8"/>
        <v>-4.4389436317272848</v>
      </c>
      <c r="AM15" s="17">
        <v>2682.3599999999997</v>
      </c>
      <c r="AN15" s="5"/>
      <c r="AO15" s="29">
        <v>0</v>
      </c>
      <c r="AP15" s="8"/>
      <c r="AQ15" s="30">
        <f>12719.30652-10000</f>
        <v>2719.3065200000001</v>
      </c>
      <c r="AR15" s="30">
        <v>10000</v>
      </c>
      <c r="AS15" s="30">
        <v>0</v>
      </c>
      <c r="AT15" s="19">
        <f>IF(K15&gt;0,K15,0)</f>
        <v>13243</v>
      </c>
      <c r="AU15" s="19">
        <f>AJ15-AM15+AO15+AQ15+AT15+AS15+IF(AR15&lt;0,AR15,0)</f>
        <v>11295.472380000001</v>
      </c>
      <c r="AV15" s="18">
        <f t="shared" si="9"/>
        <v>25.266121728627034</v>
      </c>
    </row>
    <row r="16" spans="1:48" ht="14.5" customHeight="1">
      <c r="A16">
        <v>65758</v>
      </c>
      <c r="B16" s="53"/>
      <c r="C16" s="16" t="s">
        <v>57</v>
      </c>
      <c r="D16" s="17">
        <v>157.21200000000002</v>
      </c>
      <c r="E16" s="5"/>
      <c r="F16" s="29">
        <v>0</v>
      </c>
      <c r="G16" s="5"/>
      <c r="H16" s="17">
        <v>0</v>
      </c>
      <c r="I16" s="18">
        <f t="shared" si="5"/>
        <v>0</v>
      </c>
      <c r="J16" s="30">
        <v>0</v>
      </c>
      <c r="K16" s="30">
        <v>0</v>
      </c>
      <c r="L16" s="30">
        <v>0</v>
      </c>
      <c r="M16" s="19">
        <v>0</v>
      </c>
      <c r="N16" s="19">
        <f>H16+F16-D16+L16+M16+J16+IF(K16&lt;0,K16,0)</f>
        <v>-157.21200000000002</v>
      </c>
      <c r="O16" s="18">
        <f t="shared" si="6"/>
        <v>-4.8648347567768289</v>
      </c>
      <c r="Q16" s="17">
        <v>193.89600000000002</v>
      </c>
      <c r="R16" s="15"/>
      <c r="S16" s="29">
        <v>0</v>
      </c>
      <c r="T16" s="5"/>
      <c r="U16" s="30">
        <v>193.90266000000003</v>
      </c>
      <c r="V16" s="30">
        <v>0</v>
      </c>
      <c r="W16" s="30">
        <v>0</v>
      </c>
      <c r="X16" s="19">
        <v>0</v>
      </c>
      <c r="Y16" s="19">
        <f>N16-Q16+S16+U16+X16+W16+IF(V16&lt;0,V16,0)</f>
        <v>-157.20534000000004</v>
      </c>
      <c r="Z16" s="18">
        <f t="shared" si="7"/>
        <v>-6.876874015748033</v>
      </c>
      <c r="AB16" s="17">
        <v>137.16</v>
      </c>
      <c r="AC16" s="5">
        <v>0</v>
      </c>
      <c r="AD16" s="29">
        <v>0</v>
      </c>
      <c r="AE16" s="8"/>
      <c r="AF16" s="30">
        <v>137.15766000000002</v>
      </c>
      <c r="AG16" s="30">
        <v>0</v>
      </c>
      <c r="AH16" s="30">
        <v>0</v>
      </c>
      <c r="AI16" s="19">
        <v>0</v>
      </c>
      <c r="AJ16" s="19">
        <f>Y16-AB16+AD16+AF16+AI16+AH16+IF(AG16&lt;0,AG16,0)</f>
        <v>-157.20768000000004</v>
      </c>
      <c r="AK16" s="18">
        <f t="shared" si="8"/>
        <v>-6.4814545454545476</v>
      </c>
      <c r="AM16" s="17">
        <v>145.53</v>
      </c>
      <c r="AN16" s="5"/>
      <c r="AO16" s="29">
        <v>0</v>
      </c>
      <c r="AP16" s="8"/>
      <c r="AQ16" s="30">
        <v>145.53773999999999</v>
      </c>
      <c r="AR16" s="30">
        <v>0</v>
      </c>
      <c r="AS16" s="30">
        <v>0</v>
      </c>
      <c r="AT16" s="19">
        <f>IF(K16&gt;0,K16,0)</f>
        <v>0</v>
      </c>
      <c r="AU16" s="19">
        <f>AJ16-AM16+AO16+AQ16+AT16+AS16+IF(AR16&lt;0,AR16,0)</f>
        <v>-157.19994000000008</v>
      </c>
      <c r="AV16" s="18">
        <f t="shared" si="9"/>
        <v>-6.4811354359925826</v>
      </c>
    </row>
    <row r="17" spans="1:48" ht="14.5" customHeight="1">
      <c r="A17">
        <v>65758</v>
      </c>
      <c r="B17" s="53"/>
      <c r="C17" s="16" t="s">
        <v>58</v>
      </c>
      <c r="D17" s="17">
        <v>2867.5079999999998</v>
      </c>
      <c r="E17" s="5"/>
      <c r="F17" s="29">
        <v>0</v>
      </c>
      <c r="G17" s="5"/>
      <c r="H17" s="17">
        <v>3187.4760000000001</v>
      </c>
      <c r="I17" s="18">
        <f t="shared" si="5"/>
        <v>6.6695039734849919</v>
      </c>
      <c r="J17" s="30">
        <v>3426.2458200000001</v>
      </c>
      <c r="K17" s="30">
        <v>0</v>
      </c>
      <c r="L17" s="30">
        <v>0</v>
      </c>
      <c r="M17" s="19">
        <v>0</v>
      </c>
      <c r="N17" s="19">
        <f>H17+F17-D17+L17+M17+J17+IF(K17&lt;0,K17,0)</f>
        <v>3746.2138200000004</v>
      </c>
      <c r="O17" s="18">
        <f t="shared" si="6"/>
        <v>7.570448684138734</v>
      </c>
      <c r="Q17" s="17">
        <v>2969.0820000000003</v>
      </c>
      <c r="R17" s="15"/>
      <c r="S17" s="29">
        <v>0</v>
      </c>
      <c r="T17" s="5"/>
      <c r="U17" s="30">
        <v>2864.7144000000003</v>
      </c>
      <c r="V17" s="30">
        <v>0</v>
      </c>
      <c r="W17" s="30">
        <v>0</v>
      </c>
      <c r="X17" s="19">
        <v>0</v>
      </c>
      <c r="Y17" s="19">
        <f>N17-Q17+S17+U17+X17+W17+IF(V17&lt;0,V17,0)</f>
        <v>3641.8462200000004</v>
      </c>
      <c r="Z17" s="18">
        <f t="shared" si="7"/>
        <v>9.3042855171990944</v>
      </c>
      <c r="AB17" s="17">
        <v>2348.4960000000001</v>
      </c>
      <c r="AC17" s="5">
        <v>0</v>
      </c>
      <c r="AD17" s="29">
        <v>0</v>
      </c>
      <c r="AE17" s="8"/>
      <c r="AF17" s="30">
        <v>1406.8247400000002</v>
      </c>
      <c r="AG17" s="30">
        <v>0</v>
      </c>
      <c r="AH17" s="30">
        <v>0</v>
      </c>
      <c r="AI17" s="19">
        <v>0</v>
      </c>
      <c r="AJ17" s="19">
        <f>Y17-AB17+AD17+AF17+AI17+AH17+IF(AG17&lt;0,AG17,0)</f>
        <v>2700.1749600000003</v>
      </c>
      <c r="AK17" s="18">
        <f t="shared" si="8"/>
        <v>6.3093801786139903</v>
      </c>
      <c r="AM17" s="17">
        <v>2567.7719999999999</v>
      </c>
      <c r="AN17" s="5"/>
      <c r="AO17" s="29">
        <v>0</v>
      </c>
      <c r="AP17" s="8"/>
      <c r="AQ17" s="30">
        <v>2371.2633000000001</v>
      </c>
      <c r="AR17" s="30">
        <v>0</v>
      </c>
      <c r="AS17" s="30">
        <v>0</v>
      </c>
      <c r="AT17" s="19">
        <f>IF(K17&gt;0,K17,0)</f>
        <v>0</v>
      </c>
      <c r="AU17" s="19">
        <f>AJ17-AM17+AO17+AQ17+AT17+AS17+IF(AR17&lt;0,AR17,0)</f>
        <v>2503.6662600000004</v>
      </c>
      <c r="AV17" s="18">
        <f t="shared" si="9"/>
        <v>5.8502069342605196</v>
      </c>
    </row>
    <row r="18" spans="2:48" ht="14.5" customHeight="1">
      <c r="B18" s="53"/>
      <c r="C18" s="23" t="s">
        <v>22</v>
      </c>
      <c r="D18" s="24">
        <f>(SUM(D13:D17))</f>
        <v>14841.936</v>
      </c>
      <c r="E18" s="5"/>
      <c r="F18" s="24">
        <f>(SUM(F13:F17))</f>
        <v>5400</v>
      </c>
      <c r="G18" s="5"/>
      <c r="H18" s="24">
        <f>(SUM(H13:H17))</f>
        <v>27601.907999999999</v>
      </c>
      <c r="I18" s="25">
        <f t="shared" si="5"/>
        <v>11.158345380279231</v>
      </c>
      <c r="J18" s="24">
        <f>(SUM(J13:J17))</f>
        <v>0.42493999999987864</v>
      </c>
      <c r="K18" s="24">
        <f>(SUM(K13:K17))</f>
        <v>15326</v>
      </c>
      <c r="L18" s="24">
        <f>(SUM(L13:L17))</f>
        <v>0</v>
      </c>
      <c r="M18" s="24">
        <f>(SUM(M13:M17))</f>
        <v>4500</v>
      </c>
      <c r="N18" s="24">
        <f>H18+F18-D18+L18+M18+J18+IF(K18&lt;0,K18,0)</f>
        <v>22660.396939999995</v>
      </c>
      <c r="O18" s="25">
        <f t="shared" si="6"/>
        <v>8.7836715491551356</v>
      </c>
      <c r="Q18" s="24">
        <f>(SUM(Q13:Q17))</f>
        <v>15478.992000000002</v>
      </c>
      <c r="R18" s="15"/>
      <c r="S18" s="24">
        <f>(SUM(S13:S17))</f>
        <v>14400</v>
      </c>
      <c r="T18" s="5"/>
      <c r="U18" s="24">
        <f>(SUM(U13:U17))</f>
        <v>-0.055940000000191503</v>
      </c>
      <c r="V18" s="24">
        <f>(SUM(V13:V17))</f>
        <v>12830</v>
      </c>
      <c r="W18" s="24">
        <f>(SUM(W13:W17))</f>
        <v>0</v>
      </c>
      <c r="X18" s="24">
        <f>(SUM(X13:X17))</f>
        <v>0</v>
      </c>
      <c r="Y18" s="24">
        <f>N18-Q18+S18+U18+X18+W18+IF(V18&lt;0,V18,0)</f>
        <v>21581.348999999995</v>
      </c>
      <c r="Z18" s="25">
        <f t="shared" si="7"/>
        <v>11.066762558939134</v>
      </c>
      <c r="AB18" s="24">
        <f>(SUM(AB13:AB17))</f>
        <v>11700.629999999997</v>
      </c>
      <c r="AC18" s="5">
        <v>0</v>
      </c>
      <c r="AD18" s="24">
        <f>(SUM(AD13:AD17))</f>
        <v>0</v>
      </c>
      <c r="AE18" s="8"/>
      <c r="AF18" s="24">
        <f>(SUM(AF13:AF17))</f>
        <v>-0.45234000000073138</v>
      </c>
      <c r="AG18" s="24">
        <f>(SUM(AG13:AG17))</f>
        <v>12762</v>
      </c>
      <c r="AH18" s="24">
        <f>(SUM(AH13:AH17))</f>
        <v>0</v>
      </c>
      <c r="AI18" s="24">
        <f>(SUM(AI13:AI17))</f>
        <v>0</v>
      </c>
      <c r="AJ18" s="24">
        <f>Y18-AB18+AD18+AF18+AI18+AH18+IF(AG18&lt;0,AG18,0)</f>
        <v>9880.2666599999975</v>
      </c>
      <c r="AK18" s="25">
        <f t="shared" si="8"/>
        <v>4.5428643826055284</v>
      </c>
      <c r="AM18" s="24">
        <f>(SUM(AM13:AM17))</f>
        <v>13049.387999999999</v>
      </c>
      <c r="AN18" s="5"/>
      <c r="AO18" s="24">
        <f>(SUM(AO13:AO17))</f>
        <v>12600</v>
      </c>
      <c r="AP18" s="8"/>
      <c r="AQ18" s="24">
        <f>(SUM(AQ13:AQ17))</f>
        <v>-0.26017999999976382</v>
      </c>
      <c r="AR18" s="24">
        <f>(SUM(AR13:AR17))</f>
        <v>12770</v>
      </c>
      <c r="AS18" s="24">
        <f>(SUM(AS13:AS17))</f>
        <v>0</v>
      </c>
      <c r="AT18" s="24">
        <f>IF(K18&gt;0,K18,0)</f>
        <v>15326</v>
      </c>
      <c r="AU18" s="24">
        <f>AJ18-AM18+AO18+AQ18+AT18+AS18+IF(AR18&lt;0,AR18,0)</f>
        <v>24756.618479999997</v>
      </c>
      <c r="AV18" s="25">
        <f t="shared" si="9"/>
        <v>11.382887142293571</v>
      </c>
    </row>
    <row r="19" spans="2:20" ht="14.5">
      <c r="B19" s="103"/>
      <c r="E19" s="5"/>
      <c r="G19" s="5"/>
      <c r="H19" s="40"/>
      <c r="I19" s="40"/>
      <c r="J19" s="40"/>
      <c r="K19" s="40"/>
      <c r="L19" s="40"/>
      <c r="M19" s="40"/>
      <c r="T19" s="5"/>
    </row>
    <row r="20" spans="2:48" ht="29">
      <c r="B20" s="49"/>
      <c r="C20" s="11" t="s">
        <v>6</v>
      </c>
      <c r="D20" s="12" t="s">
        <v>2</v>
      </c>
      <c r="E20" s="5"/>
      <c r="F20" s="12" t="s">
        <v>8</v>
      </c>
      <c r="G20" s="5"/>
      <c r="H20" s="13" t="s">
        <v>51</v>
      </c>
      <c r="I20" s="14" t="s">
        <v>10</v>
      </c>
      <c r="J20" s="13" t="s">
        <v>90</v>
      </c>
      <c r="K20" s="13" t="s">
        <v>91</v>
      </c>
      <c r="L20" s="13" t="s">
        <v>92</v>
      </c>
      <c r="M20" s="13" t="s">
        <v>86</v>
      </c>
      <c r="N20" s="13" t="s">
        <v>52</v>
      </c>
      <c r="O20" s="14" t="s">
        <v>13</v>
      </c>
      <c r="Q20" s="12" t="s">
        <v>2</v>
      </c>
      <c r="R20" s="15"/>
      <c r="S20" s="12" t="s">
        <v>8</v>
      </c>
      <c r="T20" s="5"/>
      <c r="U20" s="13" t="s">
        <v>90</v>
      </c>
      <c r="V20" s="13" t="s">
        <v>91</v>
      </c>
      <c r="W20" s="13" t="s">
        <v>92</v>
      </c>
      <c r="X20" s="13" t="s">
        <v>86</v>
      </c>
      <c r="Y20" s="13" t="s">
        <v>52</v>
      </c>
      <c r="Z20" s="14" t="s">
        <v>13</v>
      </c>
      <c r="AB20" s="13" t="s">
        <v>2</v>
      </c>
      <c r="AC20" s="5">
        <v>0</v>
      </c>
      <c r="AD20" s="12" t="s">
        <v>53</v>
      </c>
      <c r="AE20" s="8"/>
      <c r="AF20" s="13" t="s">
        <v>90</v>
      </c>
      <c r="AG20" s="13" t="s">
        <v>91</v>
      </c>
      <c r="AH20" s="13" t="s">
        <v>92</v>
      </c>
      <c r="AI20" s="13" t="s">
        <v>86</v>
      </c>
      <c r="AJ20" s="13" t="s">
        <v>52</v>
      </c>
      <c r="AK20" s="14" t="s">
        <v>13</v>
      </c>
      <c r="AM20" s="13" t="s">
        <v>2</v>
      </c>
      <c r="AN20" s="5"/>
      <c r="AO20" s="12" t="s">
        <v>53</v>
      </c>
      <c r="AP20" s="8"/>
      <c r="AQ20" s="13" t="s">
        <v>90</v>
      </c>
      <c r="AR20" s="13" t="s">
        <v>91</v>
      </c>
      <c r="AS20" s="13" t="s">
        <v>92</v>
      </c>
      <c r="AT20" s="13" t="s">
        <v>86</v>
      </c>
      <c r="AU20" s="13" t="s">
        <v>52</v>
      </c>
      <c r="AV20" s="14" t="s">
        <v>13</v>
      </c>
    </row>
    <row r="21" spans="1:48" ht="14.5" customHeight="1">
      <c r="A21">
        <v>70792</v>
      </c>
      <c r="B21" s="47" t="s">
        <v>75</v>
      </c>
      <c r="C21" s="16" t="s">
        <v>54</v>
      </c>
      <c r="D21" s="17">
        <v>4672.9260000000004</v>
      </c>
      <c r="E21" s="5"/>
      <c r="F21" s="29">
        <v>0</v>
      </c>
      <c r="G21" s="5"/>
      <c r="H21" s="17">
        <v>1985.6159999999998</v>
      </c>
      <c r="I21" s="18">
        <f t="shared" si="10" ref="I21:I26">H21/(D21/6)</f>
        <v>2.5495152287881293</v>
      </c>
      <c r="J21" s="30">
        <v>5050.048319999999</v>
      </c>
      <c r="K21" s="30">
        <v>0</v>
      </c>
      <c r="L21" s="30">
        <v>0</v>
      </c>
      <c r="M21" s="19">
        <v>0</v>
      </c>
      <c r="N21" s="19">
        <f>H21+F21-D21+L21+M21+J21+IF(K21&lt;0,K21,0)</f>
        <v>2362.7383199999986</v>
      </c>
      <c r="O21" s="18">
        <f t="shared" si="11" ref="O21:O26">N21/(Q21/6)</f>
        <v>2.9316189838079261</v>
      </c>
      <c r="Q21" s="17">
        <v>4835.7000000000007</v>
      </c>
      <c r="R21" s="15"/>
      <c r="S21" s="29">
        <v>0</v>
      </c>
      <c r="T21" s="5"/>
      <c r="U21" s="30">
        <v>6161.584679999999</v>
      </c>
      <c r="V21" s="30">
        <v>0</v>
      </c>
      <c r="W21" s="30">
        <v>0</v>
      </c>
      <c r="X21" s="19">
        <v>0</v>
      </c>
      <c r="Y21" s="19">
        <f>N21-Q21+S21+U21+X21+W21+IF(V21&lt;0,V21,0)</f>
        <v>3688.6229999999969</v>
      </c>
      <c r="Z21" s="18">
        <f t="shared" si="12" ref="Z21:Z26">Y21/(AB21/6)</f>
        <v>6.7569449405661386</v>
      </c>
      <c r="AB21" s="17">
        <v>3275.4060000000009</v>
      </c>
      <c r="AC21" s="5">
        <v>0</v>
      </c>
      <c r="AD21" s="29">
        <v>0</v>
      </c>
      <c r="AE21" s="8"/>
      <c r="AF21" s="30">
        <v>2792.9881800000003</v>
      </c>
      <c r="AG21" s="30">
        <v>0</v>
      </c>
      <c r="AH21" s="30">
        <v>0</v>
      </c>
      <c r="AI21" s="19">
        <v>0</v>
      </c>
      <c r="AJ21" s="19">
        <f>Y21-AB21+AD21+AF21+AI21+AH21+IF(AG21&lt;0,AG21,0)</f>
        <v>3206.2051799999963</v>
      </c>
      <c r="AK21" s="18">
        <f t="shared" si="13" ref="AK21:AK26">AJ21/(AM21/6)</f>
        <v>4.8050744993660528</v>
      </c>
      <c r="AM21" s="17">
        <v>4003.5239999999999</v>
      </c>
      <c r="AN21" s="5"/>
      <c r="AO21" s="29">
        <v>0</v>
      </c>
      <c r="AP21" s="8"/>
      <c r="AQ21" s="30">
        <v>3048.110459999999</v>
      </c>
      <c r="AR21" s="30">
        <v>0</v>
      </c>
      <c r="AS21" s="30">
        <v>0</v>
      </c>
      <c r="AT21" s="19">
        <f>IF(K21&gt;0,K21,0)</f>
        <v>0</v>
      </c>
      <c r="AU21" s="19">
        <f>AJ21-AM21+AO21+AQ21+AT21+AS21+IF(AR21&lt;0,AR21,0)</f>
        <v>2250.7916399999954</v>
      </c>
      <c r="AV21" s="18">
        <f t="shared" si="14" ref="AV21:AV26">AU21/(AM21/6)</f>
        <v>3.3732156570061704</v>
      </c>
    </row>
    <row r="22" spans="1:48" ht="14.5" customHeight="1">
      <c r="A22">
        <v>70792</v>
      </c>
      <c r="B22" s="53"/>
      <c r="C22" s="16" t="s">
        <v>55</v>
      </c>
      <c r="D22" s="17">
        <v>1516.7339999999999</v>
      </c>
      <c r="E22" s="5"/>
      <c r="F22" s="29">
        <v>16200</v>
      </c>
      <c r="G22" s="5"/>
      <c r="H22" s="17">
        <v>302.00399999999996</v>
      </c>
      <c r="I22" s="18">
        <f t="shared" si="10"/>
        <v>1.1946880600026109</v>
      </c>
      <c r="J22" s="30">
        <v>-9281.1684600000026</v>
      </c>
      <c r="K22" s="30">
        <v>0</v>
      </c>
      <c r="L22" s="30">
        <v>0</v>
      </c>
      <c r="M22" s="19">
        <v>0</v>
      </c>
      <c r="N22" s="19">
        <f>H22+F22-D22+L22+M22+J22+IF(K22&lt;0,K22,0)</f>
        <v>5704.1015399999978</v>
      </c>
      <c r="O22" s="18">
        <f t="shared" si="11"/>
        <v>19.636340146030623</v>
      </c>
      <c r="Q22" s="17">
        <v>1742.922</v>
      </c>
      <c r="R22" s="15"/>
      <c r="S22" s="29">
        <v>0</v>
      </c>
      <c r="T22" s="5"/>
      <c r="U22" s="30">
        <v>-723.14279999999974</v>
      </c>
      <c r="V22" s="30">
        <v>0</v>
      </c>
      <c r="W22" s="30">
        <v>0</v>
      </c>
      <c r="X22" s="19">
        <v>0</v>
      </c>
      <c r="Y22" s="19">
        <f>N22-Q22+S22+U22+X22+W22+IF(V22&lt;0,V22,0)</f>
        <v>3238.0367399999982</v>
      </c>
      <c r="Z22" s="18">
        <f t="shared" si="12"/>
        <v>14.788189403592414</v>
      </c>
      <c r="AB22" s="17">
        <v>1313.7659999999998</v>
      </c>
      <c r="AC22" s="5">
        <v>0</v>
      </c>
      <c r="AD22" s="29">
        <v>12960</v>
      </c>
      <c r="AE22" s="8"/>
      <c r="AF22" s="30">
        <v>-10468.708380000002</v>
      </c>
      <c r="AG22" s="30">
        <v>0</v>
      </c>
      <c r="AH22" s="30">
        <v>0</v>
      </c>
      <c r="AI22" s="19">
        <v>0</v>
      </c>
      <c r="AJ22" s="19">
        <f>Y22-AB22+AD22+AF22+AI22+AH22+IF(AG22&lt;0,AG22,0)</f>
        <v>4415.5623599999963</v>
      </c>
      <c r="AK22" s="18">
        <f t="shared" si="13"/>
        <v>18.677640698958143</v>
      </c>
      <c r="AM22" s="17">
        <v>1418.4540000000002</v>
      </c>
      <c r="AN22" s="5"/>
      <c r="AO22" s="29">
        <v>0</v>
      </c>
      <c r="AP22" s="8"/>
      <c r="AQ22" s="30">
        <v>-1899.1762200000005</v>
      </c>
      <c r="AR22" s="30">
        <v>0</v>
      </c>
      <c r="AS22" s="30">
        <v>0</v>
      </c>
      <c r="AT22" s="19">
        <f>IF(K22&gt;0,K22,0)</f>
        <v>0</v>
      </c>
      <c r="AU22" s="19">
        <f>AJ22-AM22+AO22+AQ22+AT22+AS22+IF(AR22&lt;0,AR22,0)</f>
        <v>1097.9321399999956</v>
      </c>
      <c r="AV22" s="18">
        <f t="shared" si="14"/>
        <v>4.6442061850436973</v>
      </c>
    </row>
    <row r="23" spans="1:48" ht="14.5" customHeight="1">
      <c r="A23">
        <v>70792</v>
      </c>
      <c r="B23" s="53"/>
      <c r="C23" s="16" t="s">
        <v>56</v>
      </c>
      <c r="D23" s="17">
        <v>2484.8820000000001</v>
      </c>
      <c r="E23" s="5"/>
      <c r="F23" s="29">
        <v>0</v>
      </c>
      <c r="G23" s="5"/>
      <c r="H23" s="17">
        <v>4383</v>
      </c>
      <c r="I23" s="18">
        <f t="shared" si="10"/>
        <v>10.583198719295323</v>
      </c>
      <c r="J23" s="30">
        <v>3054.1505400000005</v>
      </c>
      <c r="K23" s="30">
        <v>0</v>
      </c>
      <c r="L23" s="30">
        <v>0</v>
      </c>
      <c r="M23" s="19">
        <v>0</v>
      </c>
      <c r="N23" s="19">
        <f>H23+F23-D23+L23+M23+J23+IF(K23&lt;0,K23,0)</f>
        <v>4952.2685400000009</v>
      </c>
      <c r="O23" s="18">
        <f t="shared" si="11"/>
        <v>10.981248494927661</v>
      </c>
      <c r="Q23" s="17">
        <v>2705.85</v>
      </c>
      <c r="R23" s="15"/>
      <c r="S23" s="29">
        <v>0</v>
      </c>
      <c r="T23" s="5"/>
      <c r="U23" s="30">
        <v>316.95047999999991</v>
      </c>
      <c r="V23" s="30">
        <v>0</v>
      </c>
      <c r="W23" s="30">
        <v>0</v>
      </c>
      <c r="X23" s="19">
        <v>0</v>
      </c>
      <c r="Y23" s="19">
        <f>N23-Q23+S23+U23+X23+W23+IF(V23&lt;0,V23,0)</f>
        <v>2563.369020000001</v>
      </c>
      <c r="Z23" s="18">
        <f t="shared" si="12"/>
        <v>7.7225029599168558</v>
      </c>
      <c r="AB23" s="17">
        <v>1991.6099999999997</v>
      </c>
      <c r="AC23" s="5">
        <v>0</v>
      </c>
      <c r="AD23" s="29">
        <v>0</v>
      </c>
      <c r="AE23" s="8"/>
      <c r="AF23" s="30">
        <f>7714.10268-52</f>
        <v>7662.10268</v>
      </c>
      <c r="AG23" s="30">
        <v>0</v>
      </c>
      <c r="AH23" s="30">
        <v>0</v>
      </c>
      <c r="AI23" s="19">
        <v>0</v>
      </c>
      <c r="AJ23" s="19">
        <f>Y23-AB23+AD23+AF23+AI23+AH23+IF(AG23&lt;0,AG23,0)</f>
        <v>8233.8617000000013</v>
      </c>
      <c r="AK23" s="18">
        <f t="shared" si="13"/>
        <v>22.477544463098702</v>
      </c>
      <c r="AM23" s="17">
        <v>2197.89</v>
      </c>
      <c r="AN23" s="5"/>
      <c r="AO23" s="29">
        <v>0</v>
      </c>
      <c r="AP23" s="8"/>
      <c r="AQ23" s="30">
        <v>1441.7130600000003</v>
      </c>
      <c r="AR23" s="30">
        <v>0</v>
      </c>
      <c r="AS23" s="30">
        <v>0</v>
      </c>
      <c r="AT23" s="19">
        <f>IF(K23&gt;0,K23,0)</f>
        <v>0</v>
      </c>
      <c r="AU23" s="19">
        <f>AJ23-AM23+AO23+AQ23+AT23+AS23+IF(AR23&lt;0,AR23,0)</f>
        <v>7477.6847600000019</v>
      </c>
      <c r="AV23" s="18">
        <f t="shared" si="14"/>
        <v>20.413263884907803</v>
      </c>
    </row>
    <row r="24" spans="1:48" ht="14.5" customHeight="1">
      <c r="A24">
        <v>70792</v>
      </c>
      <c r="B24" s="53"/>
      <c r="C24" s="16" t="s">
        <v>57</v>
      </c>
      <c r="D24" s="17">
        <v>60.660000000000004</v>
      </c>
      <c r="E24" s="5"/>
      <c r="F24" s="29">
        <v>0</v>
      </c>
      <c r="G24" s="5"/>
      <c r="H24" s="17">
        <v>0</v>
      </c>
      <c r="I24" s="18">
        <f t="shared" si="10"/>
        <v>0</v>
      </c>
      <c r="J24" s="30">
        <v>60.655680000000004</v>
      </c>
      <c r="K24" s="30">
        <v>0</v>
      </c>
      <c r="L24" s="30">
        <v>0</v>
      </c>
      <c r="M24" s="19">
        <v>0</v>
      </c>
      <c r="N24" s="19">
        <f>H24+F24-D24+L24+M24+J24+IF(K24&lt;0,K24,0)</f>
        <v>-0.0043199999999998795</v>
      </c>
      <c r="O24" s="18">
        <f t="shared" si="11"/>
        <v>-0.00036281179138320988</v>
      </c>
      <c r="Q24" s="17">
        <v>71.441999999999993</v>
      </c>
      <c r="R24" s="15"/>
      <c r="S24" s="29">
        <v>0</v>
      </c>
      <c r="T24" s="5"/>
      <c r="U24" s="30">
        <v>71.433539999999994</v>
      </c>
      <c r="V24" s="30">
        <v>0</v>
      </c>
      <c r="W24" s="30">
        <v>0</v>
      </c>
      <c r="X24" s="19">
        <v>0</v>
      </c>
      <c r="Y24" s="19">
        <f>N24-Q24+S24+U24+X24+W24+IF(V24&lt;0,V24,0)</f>
        <v>-0.012779999999992242</v>
      </c>
      <c r="Z24" s="18">
        <f t="shared" si="12"/>
        <v>-0.001584232056525628</v>
      </c>
      <c r="AB24" s="17">
        <v>48.402000000000001</v>
      </c>
      <c r="AC24" s="5">
        <v>0</v>
      </c>
      <c r="AD24" s="29">
        <v>0</v>
      </c>
      <c r="AE24" s="8"/>
      <c r="AF24" s="30">
        <v>48.390480000000004</v>
      </c>
      <c r="AG24" s="30">
        <v>0</v>
      </c>
      <c r="AH24" s="30">
        <v>0</v>
      </c>
      <c r="AI24" s="19">
        <v>0</v>
      </c>
      <c r="AJ24" s="19">
        <f>Y24-AB24+AD24+AF24+AI24+AH24+IF(AG24&lt;0,AG24,0)</f>
        <v>-0.024299999999989552</v>
      </c>
      <c r="AK24" s="18">
        <f t="shared" si="13"/>
        <v>-0.0028764204545442184</v>
      </c>
      <c r="AM24" s="17">
        <v>50.687999999999995</v>
      </c>
      <c r="AN24" s="5"/>
      <c r="AO24" s="29">
        <v>0</v>
      </c>
      <c r="AP24" s="8"/>
      <c r="AQ24" s="30">
        <v>50.694840000000006</v>
      </c>
      <c r="AR24" s="30">
        <v>0</v>
      </c>
      <c r="AS24" s="30">
        <v>0</v>
      </c>
      <c r="AT24" s="19">
        <f>IF(K24&gt;0,K24,0)</f>
        <v>0</v>
      </c>
      <c r="AU24" s="19">
        <f>AJ24-AM24+AO24+AQ24+AT24+AS24+IF(AR24&lt;0,AR24,0)</f>
        <v>-0.017459999999978493</v>
      </c>
      <c r="AV24" s="18">
        <f t="shared" si="14"/>
        <v>-0.0020667613636338182</v>
      </c>
    </row>
    <row r="25" spans="1:48" ht="14.5" customHeight="1">
      <c r="A25">
        <v>70792</v>
      </c>
      <c r="B25" s="53"/>
      <c r="C25" s="16" t="s">
        <v>58</v>
      </c>
      <c r="D25" s="17">
        <v>1713.4740000000004</v>
      </c>
      <c r="E25" s="5"/>
      <c r="F25" s="29">
        <v>0</v>
      </c>
      <c r="G25" s="5"/>
      <c r="H25" s="17">
        <v>964.81799999999998</v>
      </c>
      <c r="I25" s="18">
        <f t="shared" si="10"/>
        <v>3.3784627020894384</v>
      </c>
      <c r="J25" s="30">
        <f>1182.5352-66</f>
        <v>1116.5352</v>
      </c>
      <c r="K25" s="30">
        <v>0</v>
      </c>
      <c r="L25" s="30">
        <v>0</v>
      </c>
      <c r="M25" s="19">
        <v>0</v>
      </c>
      <c r="N25" s="19">
        <f>H25+F25-D25+L25+M25+J25+IF(K25&lt;0,K25,0)</f>
        <v>367.87919999999963</v>
      </c>
      <c r="O25" s="18">
        <f t="shared" si="11"/>
        <v>1.164985749572486</v>
      </c>
      <c r="Q25" s="17">
        <v>1894.6799999999998</v>
      </c>
      <c r="R25" s="15"/>
      <c r="S25" s="29">
        <v>9000</v>
      </c>
      <c r="T25" s="5"/>
      <c r="U25" s="30">
        <f>-5749.65288-77</f>
        <v>-5826.6528799999996</v>
      </c>
      <c r="V25" s="30">
        <v>0</v>
      </c>
      <c r="W25" s="30">
        <v>0</v>
      </c>
      <c r="X25" s="19">
        <v>77</v>
      </c>
      <c r="Y25" s="19">
        <f>N25-Q25+S25+U25+X25+W25+IF(V25&lt;0,V25,0)</f>
        <v>1723.5463200000004</v>
      </c>
      <c r="Z25" s="18">
        <f t="shared" si="12"/>
        <v>7.5120678879169454</v>
      </c>
      <c r="AB25" s="17">
        <v>1376.6220000000001</v>
      </c>
      <c r="AC25" s="5">
        <v>0</v>
      </c>
      <c r="AD25" s="29">
        <v>7560</v>
      </c>
      <c r="AE25" s="8"/>
      <c r="AF25" s="30">
        <v>-34.375500000000557</v>
      </c>
      <c r="AG25" s="30">
        <v>0</v>
      </c>
      <c r="AH25" s="30">
        <v>0</v>
      </c>
      <c r="AI25" s="19">
        <v>52</v>
      </c>
      <c r="AJ25" s="19">
        <f>Y25-AB25+AD25+AF25+AI25+AH25+IF(AG25&lt;0,AG25,0)</f>
        <v>7924.54882</v>
      </c>
      <c r="AK25" s="18">
        <f t="shared" si="13"/>
        <v>30.510248253982923</v>
      </c>
      <c r="AM25" s="17">
        <v>1558.404</v>
      </c>
      <c r="AN25" s="5"/>
      <c r="AO25" s="29">
        <v>0</v>
      </c>
      <c r="AP25" s="8"/>
      <c r="AQ25" s="30">
        <f>-2587.25484-54</f>
        <v>-2641.2548400000001</v>
      </c>
      <c r="AR25" s="30">
        <v>0</v>
      </c>
      <c r="AS25" s="30">
        <v>0</v>
      </c>
      <c r="AT25" s="19">
        <f>IF(K25&gt;0,K25,0)</f>
        <v>0</v>
      </c>
      <c r="AU25" s="19">
        <f>AJ25-AM25+AO25+AQ25+AT25+AS25+IF(AR25&lt;0,AR25,0)</f>
        <v>3724.8899799999995</v>
      </c>
      <c r="AV25" s="18">
        <f t="shared" si="14"/>
        <v>14.341172045246289</v>
      </c>
    </row>
    <row r="26" spans="2:48" ht="14.5" customHeight="1">
      <c r="B26" s="53"/>
      <c r="C26" s="23" t="s">
        <v>22</v>
      </c>
      <c r="D26" s="24">
        <f>(SUM(D21:D25))</f>
        <v>10448.675999999999</v>
      </c>
      <c r="E26" s="5"/>
      <c r="F26" s="24">
        <f>(SUM(F21:F25))</f>
        <v>16200</v>
      </c>
      <c r="G26" s="5"/>
      <c r="H26" s="24">
        <f>(SUM(H21:H25))</f>
        <v>7635.4380000000001</v>
      </c>
      <c r="I26" s="25">
        <f t="shared" si="10"/>
        <v>4.3845390554745887</v>
      </c>
      <c r="J26" s="24">
        <f>(SUM(J21:J25))</f>
        <v>0.22127999999702297</v>
      </c>
      <c r="K26" s="24">
        <f>(SUM(K21:K25))</f>
        <v>0</v>
      </c>
      <c r="L26" s="24">
        <f>(SUM(L21:L25))</f>
        <v>0</v>
      </c>
      <c r="M26" s="24">
        <f>(SUM(M21:M25))</f>
        <v>0</v>
      </c>
      <c r="N26" s="24">
        <f>H26+F26-D26+L26+M26+J26+IF(K26&lt;0,K26,0)</f>
        <v>13386.98328</v>
      </c>
      <c r="O26" s="25">
        <f t="shared" si="11"/>
        <v>7.1393474584541936</v>
      </c>
      <c r="Q26" s="24">
        <f>(SUM(Q21:Q25))</f>
        <v>11250.594000000001</v>
      </c>
      <c r="R26" s="15"/>
      <c r="S26" s="24">
        <f>(SUM(S21:S25))</f>
        <v>9000</v>
      </c>
      <c r="T26" s="5"/>
      <c r="U26" s="24">
        <f>(SUM(U21:U25))</f>
        <v>0.1730199999992692</v>
      </c>
      <c r="V26" s="24">
        <f>(SUM(V21:V25))</f>
        <v>0</v>
      </c>
      <c r="W26" s="24">
        <f>(SUM(W21:W25))</f>
        <v>0</v>
      </c>
      <c r="X26" s="24">
        <f>(SUM(X21:X25))</f>
        <v>77</v>
      </c>
      <c r="Y26" s="24">
        <f>N26-Q26+S26+U26+X26+W26+IF(V26&lt;0,V26,0)</f>
        <v>11213.562299999998</v>
      </c>
      <c r="Z26" s="25">
        <f t="shared" si="12"/>
        <v>8.4040724694053264</v>
      </c>
      <c r="AB26" s="24">
        <f>(SUM(AB21:AB25))</f>
        <v>8005.8060000000005</v>
      </c>
      <c r="AC26" s="5">
        <v>0</v>
      </c>
      <c r="AD26" s="24">
        <f>(SUM(AD21:AD25))</f>
        <v>20520</v>
      </c>
      <c r="AE26" s="8"/>
      <c r="AF26" s="24">
        <f>(SUM(AF21:AF25))</f>
        <v>0.39745999999784232</v>
      </c>
      <c r="AG26" s="24">
        <f>(SUM(AG21:AG25))</f>
        <v>0</v>
      </c>
      <c r="AH26" s="24">
        <f>(SUM(AH21:AH25))</f>
        <v>0</v>
      </c>
      <c r="AI26" s="24">
        <f>(SUM(AI21:AI25))</f>
        <v>52</v>
      </c>
      <c r="AJ26" s="24">
        <f>Y26-AB26+AD26+AF26+AI26+AH26+IF(AG26&lt;0,AG26,0)</f>
        <v>23780.153759999994</v>
      </c>
      <c r="AK26" s="25">
        <f t="shared" si="13"/>
        <v>15.460130129505378</v>
      </c>
      <c r="AM26" s="24">
        <f>(SUM(AM21:AM25))</f>
        <v>9228.9600000000009</v>
      </c>
      <c r="AN26" s="5"/>
      <c r="AO26" s="24">
        <f>(SUM(AO21:AO25))</f>
        <v>0</v>
      </c>
      <c r="AP26" s="8"/>
      <c r="AQ26" s="24">
        <f>(SUM(AQ21:AQ25))</f>
        <v>0.087299999998776912</v>
      </c>
      <c r="AR26" s="24">
        <f>(SUM(AR21:AR25))</f>
        <v>0</v>
      </c>
      <c r="AS26" s="24">
        <f>(SUM(AS21:AS25))</f>
        <v>0</v>
      </c>
      <c r="AT26" s="24">
        <f>IF(K26&gt;0,K26,0)</f>
        <v>0</v>
      </c>
      <c r="AU26" s="24">
        <f>AJ26-AM26+AO26+AQ26+AT26+AS26+IF(AR26&lt;0,AR26,0)</f>
        <v>14551.281059999992</v>
      </c>
      <c r="AV26" s="25">
        <f t="shared" si="14"/>
        <v>9.460186885629577</v>
      </c>
    </row>
    <row r="27" spans="2:42" ht="14.5">
      <c r="B27" s="103"/>
      <c r="C27" s="27"/>
      <c r="E27" s="5"/>
      <c r="G27" s="5"/>
      <c r="T27" s="5"/>
      <c r="AC27" s="5"/>
      <c r="AE27" s="5"/>
      <c r="AN27" s="5"/>
      <c r="AP27" s="5"/>
    </row>
    <row r="28" spans="2:48" ht="29">
      <c r="B28" s="49"/>
      <c r="C28" s="11" t="s">
        <v>6</v>
      </c>
      <c r="D28" s="12" t="s">
        <v>2</v>
      </c>
      <c r="E28" s="5"/>
      <c r="F28" s="12" t="s">
        <v>8</v>
      </c>
      <c r="G28" s="5"/>
      <c r="H28" s="13" t="s">
        <v>51</v>
      </c>
      <c r="I28" s="14" t="s">
        <v>10</v>
      </c>
      <c r="J28" s="13" t="s">
        <v>90</v>
      </c>
      <c r="K28" s="13" t="s">
        <v>91</v>
      </c>
      <c r="L28" s="13" t="s">
        <v>92</v>
      </c>
      <c r="M28" s="13" t="s">
        <v>86</v>
      </c>
      <c r="N28" s="13" t="s">
        <v>52</v>
      </c>
      <c r="O28" s="14" t="s">
        <v>13</v>
      </c>
      <c r="Q28" s="12" t="s">
        <v>2</v>
      </c>
      <c r="R28" s="15"/>
      <c r="S28" s="12" t="s">
        <v>8</v>
      </c>
      <c r="T28" s="5"/>
      <c r="U28" s="13" t="s">
        <v>90</v>
      </c>
      <c r="V28" s="13" t="s">
        <v>91</v>
      </c>
      <c r="W28" s="13" t="s">
        <v>92</v>
      </c>
      <c r="X28" s="13" t="s">
        <v>86</v>
      </c>
      <c r="Y28" s="13" t="s">
        <v>52</v>
      </c>
      <c r="Z28" s="14" t="s">
        <v>13</v>
      </c>
      <c r="AB28" s="13" t="s">
        <v>2</v>
      </c>
      <c r="AC28" s="5">
        <v>0</v>
      </c>
      <c r="AD28" s="12" t="s">
        <v>53</v>
      </c>
      <c r="AE28" s="8"/>
      <c r="AF28" s="13" t="s">
        <v>90</v>
      </c>
      <c r="AG28" s="13" t="s">
        <v>91</v>
      </c>
      <c r="AH28" s="13" t="s">
        <v>92</v>
      </c>
      <c r="AI28" s="13" t="s">
        <v>86</v>
      </c>
      <c r="AJ28" s="13" t="s">
        <v>52</v>
      </c>
      <c r="AK28" s="14" t="s">
        <v>13</v>
      </c>
      <c r="AM28" s="13" t="s">
        <v>2</v>
      </c>
      <c r="AN28" s="5"/>
      <c r="AO28" s="12" t="s">
        <v>53</v>
      </c>
      <c r="AP28" s="8"/>
      <c r="AQ28" s="13" t="s">
        <v>90</v>
      </c>
      <c r="AR28" s="13" t="s">
        <v>91</v>
      </c>
      <c r="AS28" s="13" t="s">
        <v>92</v>
      </c>
      <c r="AT28" s="13" t="s">
        <v>86</v>
      </c>
      <c r="AU28" s="13" t="s">
        <v>52</v>
      </c>
      <c r="AV28" s="14" t="s">
        <v>13</v>
      </c>
    </row>
    <row r="29" spans="1:48" ht="14.5" customHeight="1">
      <c r="A29">
        <v>83179</v>
      </c>
      <c r="B29" s="47" t="s">
        <v>76</v>
      </c>
      <c r="C29" s="16" t="s">
        <v>54</v>
      </c>
      <c r="D29" s="17">
        <v>1854.1979999999999</v>
      </c>
      <c r="E29" s="5"/>
      <c r="F29" s="29">
        <v>0</v>
      </c>
      <c r="G29" s="5"/>
      <c r="H29" s="17">
        <v>3877.2000000000003</v>
      </c>
      <c r="I29" s="18">
        <f t="shared" si="15" ref="I29:I34">H29/(D29/6)</f>
        <v>12.546232926580659</v>
      </c>
      <c r="J29" s="30">
        <v>2891.4483600000008</v>
      </c>
      <c r="K29" s="30">
        <v>0</v>
      </c>
      <c r="L29" s="30">
        <v>0</v>
      </c>
      <c r="M29" s="19">
        <v>0</v>
      </c>
      <c r="N29" s="19">
        <f>H29+F29-D29+L29+M29+J29+IF(K29&lt;0,K29,0)</f>
        <v>4914.4503600000007</v>
      </c>
      <c r="O29" s="18">
        <f t="shared" si="16" ref="O29:O34">N29/(Q29/6)</f>
        <v>15.117385430316897</v>
      </c>
      <c r="Q29" s="17">
        <v>1950.5160000000008</v>
      </c>
      <c r="R29" s="15"/>
      <c r="S29" s="29">
        <v>0</v>
      </c>
      <c r="T29" s="5"/>
      <c r="U29" s="30">
        <v>1112.5067400000007</v>
      </c>
      <c r="V29" s="30">
        <v>0</v>
      </c>
      <c r="W29" s="30">
        <v>0</v>
      </c>
      <c r="X29" s="19">
        <v>0</v>
      </c>
      <c r="Y29" s="19">
        <f>N29-Q29+S29+U29+X29+W29+IF(V29&lt;0,V29,0)</f>
        <v>4076.4411000000009</v>
      </c>
      <c r="Z29" s="18">
        <f t="shared" si="17" ref="Z29:Z34">Y29/(AB29/6)</f>
        <v>17.169529068371642</v>
      </c>
      <c r="AB29" s="17">
        <v>1424.5380000000002</v>
      </c>
      <c r="AC29" s="5">
        <v>0</v>
      </c>
      <c r="AD29" s="29">
        <v>0</v>
      </c>
      <c r="AE29" s="8"/>
      <c r="AF29" s="30">
        <v>1008.9721800000001</v>
      </c>
      <c r="AG29" s="30">
        <v>0</v>
      </c>
      <c r="AH29" s="30">
        <v>0</v>
      </c>
      <c r="AI29" s="19">
        <v>0</v>
      </c>
      <c r="AJ29" s="19">
        <f>Y29-AB29+AD29+AF29+AI29+AH29+IF(AG29&lt;0,AG29,0)</f>
        <v>3660.8752800000007</v>
      </c>
      <c r="AK29" s="18">
        <f t="shared" si="18" ref="AK29:AK34">AJ29/(AM29/6)</f>
        <v>13.361200030657724</v>
      </c>
      <c r="AM29" s="17">
        <v>1643.9579999999996</v>
      </c>
      <c r="AN29" s="5"/>
      <c r="AO29" s="29">
        <v>0</v>
      </c>
      <c r="AP29" s="8"/>
      <c r="AQ29" s="30">
        <v>966.72077999999976</v>
      </c>
      <c r="AR29" s="30">
        <v>0</v>
      </c>
      <c r="AS29" s="30">
        <v>0</v>
      </c>
      <c r="AT29" s="19">
        <f>IF(K29&gt;0,K29,0)</f>
        <v>0</v>
      </c>
      <c r="AU29" s="19">
        <f>AJ29-AM29+AO29+AQ29+AT29+AS29+IF(AR29&lt;0,AR29,0)</f>
        <v>2983.6380600000007</v>
      </c>
      <c r="AV29" s="18">
        <f t="shared" si="19" ref="AV29:AV34">AU29/(AM29/6)</f>
        <v>10.889468198092658</v>
      </c>
    </row>
    <row r="30" spans="1:48" ht="14.5" customHeight="1">
      <c r="A30">
        <v>83179</v>
      </c>
      <c r="B30" s="53"/>
      <c r="C30" s="16" t="s">
        <v>55</v>
      </c>
      <c r="D30" s="17">
        <v>1370.8800000000003</v>
      </c>
      <c r="E30" s="5"/>
      <c r="F30" s="29">
        <v>5400</v>
      </c>
      <c r="G30" s="5"/>
      <c r="H30" s="17">
        <v>8016.2780000000002</v>
      </c>
      <c r="I30" s="18">
        <f t="shared" si="15"/>
        <v>35.085250350140051</v>
      </c>
      <c r="J30" s="30">
        <v>-4225.0426200000002</v>
      </c>
      <c r="K30" s="30">
        <v>0</v>
      </c>
      <c r="L30" s="30">
        <v>0</v>
      </c>
      <c r="M30" s="19">
        <v>0</v>
      </c>
      <c r="N30" s="19">
        <f>H30+F30-D30+L30+M30+J30+IF(K30&lt;0,K30,0)</f>
        <v>7820.3553799999991</v>
      </c>
      <c r="O30" s="18">
        <f t="shared" si="16"/>
        <v>28.970395157496203</v>
      </c>
      <c r="Q30" s="17">
        <v>1619.6580000000001</v>
      </c>
      <c r="R30" s="15"/>
      <c r="S30" s="29">
        <v>0</v>
      </c>
      <c r="T30" s="5"/>
      <c r="U30" s="30">
        <v>-3080.0278800000001</v>
      </c>
      <c r="V30" s="30">
        <v>0</v>
      </c>
      <c r="W30" s="30">
        <v>0</v>
      </c>
      <c r="X30" s="19">
        <v>0</v>
      </c>
      <c r="Y30" s="19">
        <f>N30-Q30+S30+U30+X30+W30+IF(V30&lt;0,V30,0)</f>
        <v>3120.6694999999986</v>
      </c>
      <c r="Z30" s="18">
        <f t="shared" si="17"/>
        <v>14.772120291213412</v>
      </c>
      <c r="AB30" s="17">
        <v>1267.5240000000003</v>
      </c>
      <c r="AC30" s="5">
        <v>0</v>
      </c>
      <c r="AD30" s="29">
        <v>10800</v>
      </c>
      <c r="AE30" s="8"/>
      <c r="AF30" s="30">
        <v>-3487.035060000002</v>
      </c>
      <c r="AG30" s="30">
        <v>0</v>
      </c>
      <c r="AH30" s="30">
        <v>0</v>
      </c>
      <c r="AI30" s="19">
        <v>0</v>
      </c>
      <c r="AJ30" s="19">
        <f>Y30-AB30+AD30+AF30+AI30+AH30+IF(AG30&lt;0,AG30,0)</f>
        <v>9166.1104399999967</v>
      </c>
      <c r="AK30" s="18">
        <f t="shared" si="18"/>
        <v>39.375863736924607</v>
      </c>
      <c r="AM30" s="17">
        <v>1396.7100000000003</v>
      </c>
      <c r="AN30" s="5"/>
      <c r="AO30" s="29">
        <v>0</v>
      </c>
      <c r="AP30" s="8"/>
      <c r="AQ30" s="30">
        <v>-3721.3300800000011</v>
      </c>
      <c r="AR30" s="30">
        <v>0</v>
      </c>
      <c r="AS30" s="30">
        <v>0</v>
      </c>
      <c r="AT30" s="19">
        <f>IF(K30&gt;0,K30,0)</f>
        <v>0</v>
      </c>
      <c r="AU30" s="19">
        <f>AJ30-AM30+AO30+AQ30+AT30+AS30+IF(AR30&lt;0,AR30,0)</f>
        <v>4048.0703599999956</v>
      </c>
      <c r="AV30" s="18">
        <f t="shared" si="19"/>
        <v>17.389738857744248</v>
      </c>
    </row>
    <row r="31" spans="1:48" ht="14.5" customHeight="1">
      <c r="A31">
        <v>83179</v>
      </c>
      <c r="B31" s="53"/>
      <c r="C31" s="16" t="s">
        <v>56</v>
      </c>
      <c r="D31" s="17">
        <v>1199.7180000000001</v>
      </c>
      <c r="E31" s="5"/>
      <c r="F31" s="29">
        <v>0</v>
      </c>
      <c r="G31" s="5"/>
      <c r="H31" s="17">
        <v>5080.1040000000003</v>
      </c>
      <c r="I31" s="18">
        <f t="shared" si="15"/>
        <v>25.406490525273441</v>
      </c>
      <c r="J31" s="30">
        <v>228.44159999999997</v>
      </c>
      <c r="K31" s="30">
        <v>0</v>
      </c>
      <c r="L31" s="30">
        <v>0</v>
      </c>
      <c r="M31" s="19">
        <v>0</v>
      </c>
      <c r="N31" s="19">
        <f>H31+F31-D31+L31+M31+J31+IF(K31&lt;0,K31,0)</f>
        <v>4108.8276000000005</v>
      </c>
      <c r="O31" s="18">
        <f t="shared" si="16"/>
        <v>17.807483877678397</v>
      </c>
      <c r="Q31" s="17">
        <v>1384.4159999999995</v>
      </c>
      <c r="R31" s="15"/>
      <c r="S31" s="29">
        <v>0</v>
      </c>
      <c r="T31" s="5"/>
      <c r="U31" s="30">
        <v>525.88278000000037</v>
      </c>
      <c r="V31" s="30">
        <v>0</v>
      </c>
      <c r="W31" s="30">
        <v>0</v>
      </c>
      <c r="X31" s="19">
        <v>0</v>
      </c>
      <c r="Y31" s="19">
        <f>N31-Q31+S31+U31+X31+W31+IF(V31&lt;0,V31,0)</f>
        <v>3250.2943800000016</v>
      </c>
      <c r="Z31" s="18">
        <f t="shared" si="17"/>
        <v>18.542066026595482</v>
      </c>
      <c r="AB31" s="17">
        <v>1051.7579999999998</v>
      </c>
      <c r="AC31" s="5">
        <v>0</v>
      </c>
      <c r="AD31" s="29">
        <v>0</v>
      </c>
      <c r="AE31" s="8"/>
      <c r="AF31" s="30">
        <v>1107.11232</v>
      </c>
      <c r="AG31" s="30">
        <v>0</v>
      </c>
      <c r="AH31" s="30">
        <v>0</v>
      </c>
      <c r="AI31" s="19">
        <v>0</v>
      </c>
      <c r="AJ31" s="19">
        <f>Y31-AB31+AD31+AF31+AI31+AH31+IF(AG31&lt;0,AG31,0)</f>
        <v>3305.6487000000016</v>
      </c>
      <c r="AK31" s="18">
        <f t="shared" si="18"/>
        <v>17.338561155607316</v>
      </c>
      <c r="AM31" s="17">
        <v>1143.9179999999999</v>
      </c>
      <c r="AN31" s="5"/>
      <c r="AO31" s="29">
        <v>0</v>
      </c>
      <c r="AP31" s="8"/>
      <c r="AQ31" s="30">
        <v>1130.4172799999997</v>
      </c>
      <c r="AR31" s="30">
        <v>0</v>
      </c>
      <c r="AS31" s="30">
        <v>0</v>
      </c>
      <c r="AT31" s="19">
        <f>IF(K31&gt;0,K31,0)</f>
        <v>0</v>
      </c>
      <c r="AU31" s="19">
        <f>AJ31-AM31+AO31+AQ31+AT31+AS31+IF(AR31&lt;0,AR31,0)</f>
        <v>3292.1479800000016</v>
      </c>
      <c r="AV31" s="18">
        <f t="shared" si="19"/>
        <v>17.267748107818925</v>
      </c>
    </row>
    <row r="32" spans="1:48" ht="14.5" customHeight="1">
      <c r="A32">
        <v>83179</v>
      </c>
      <c r="B32" s="53"/>
      <c r="C32" s="16" t="s">
        <v>57</v>
      </c>
      <c r="D32" s="17">
        <v>48.113999999999997</v>
      </c>
      <c r="E32" s="5"/>
      <c r="F32" s="29">
        <v>0</v>
      </c>
      <c r="G32" s="5"/>
      <c r="H32" s="17">
        <v>0</v>
      </c>
      <c r="I32" s="18">
        <f t="shared" si="15"/>
        <v>0</v>
      </c>
      <c r="J32" s="30">
        <v>48.110579999999999</v>
      </c>
      <c r="K32" s="30">
        <v>0</v>
      </c>
      <c r="L32" s="30">
        <v>0</v>
      </c>
      <c r="M32" s="19">
        <v>0</v>
      </c>
      <c r="N32" s="19">
        <f>H32+F32-D32+L32+M32+J32+IF(K32&lt;0,K32,0)</f>
        <v>-0.0034199999999984243</v>
      </c>
      <c r="O32" s="18">
        <f t="shared" si="16"/>
        <v>-0.00035703100532398204</v>
      </c>
      <c r="Q32" s="17">
        <v>57.474000000000004</v>
      </c>
      <c r="R32" s="15"/>
      <c r="S32" s="29">
        <v>0</v>
      </c>
      <c r="T32" s="5"/>
      <c r="U32" s="30">
        <v>38.149380000000001</v>
      </c>
      <c r="V32" s="30">
        <v>0</v>
      </c>
      <c r="W32" s="30">
        <v>0</v>
      </c>
      <c r="X32" s="19">
        <v>0</v>
      </c>
      <c r="Y32" s="19">
        <f>N32-Q32+S32+U32+X32+W32+IF(V32&lt;0,V32,0)</f>
        <v>-19.328040000000001</v>
      </c>
      <c r="Z32" s="18">
        <f t="shared" si="17"/>
        <v>-2.97720887245841</v>
      </c>
      <c r="AB32" s="17">
        <v>38.952000000000005</v>
      </c>
      <c r="AC32" s="5">
        <v>0</v>
      </c>
      <c r="AD32" s="29">
        <v>0</v>
      </c>
      <c r="AE32" s="8"/>
      <c r="AF32" s="30">
        <v>38.938140000000004</v>
      </c>
      <c r="AG32" s="30">
        <v>0</v>
      </c>
      <c r="AH32" s="30">
        <v>0</v>
      </c>
      <c r="AI32" s="19">
        <v>0</v>
      </c>
      <c r="AJ32" s="19">
        <f>Y32-AB32+AD32+AF32+AI32+AH32+IF(AG32&lt;0,AG32,0)</f>
        <v>-19.341900000000003</v>
      </c>
      <c r="AK32" s="18">
        <f t="shared" si="18"/>
        <v>-2.845233892321271</v>
      </c>
      <c r="AM32" s="17">
        <v>40.788000000000004</v>
      </c>
      <c r="AN32" s="5"/>
      <c r="AO32" s="29">
        <v>0</v>
      </c>
      <c r="AP32" s="8"/>
      <c r="AQ32" s="30">
        <v>40.792320000000004</v>
      </c>
      <c r="AR32" s="30">
        <v>0</v>
      </c>
      <c r="AS32" s="30">
        <v>0</v>
      </c>
      <c r="AT32" s="19">
        <f>IF(K32&gt;0,K32,0)</f>
        <v>0</v>
      </c>
      <c r="AU32" s="19">
        <f>AJ32-AM32+AO32+AQ32+AT32+AS32+IF(AR32&lt;0,AR32,0)</f>
        <v>-19.337580000000003</v>
      </c>
      <c r="AV32" s="18">
        <f t="shared" si="19"/>
        <v>-2.8445984112974405</v>
      </c>
    </row>
    <row r="33" spans="1:48" ht="14.5" customHeight="1">
      <c r="A33">
        <v>83179</v>
      </c>
      <c r="B33" s="53"/>
      <c r="C33" s="16" t="s">
        <v>58</v>
      </c>
      <c r="D33" s="17">
        <v>1579.2660000000001</v>
      </c>
      <c r="E33" s="5"/>
      <c r="F33" s="29">
        <v>0</v>
      </c>
      <c r="G33" s="5"/>
      <c r="H33" s="17">
        <v>4416.6960000000008</v>
      </c>
      <c r="I33" s="18">
        <f t="shared" si="15"/>
        <v>16.780058584177716</v>
      </c>
      <c r="J33" s="30">
        <f>1113.66468-57</f>
        <v>1056.6646800000001</v>
      </c>
      <c r="K33" s="30">
        <v>0</v>
      </c>
      <c r="L33" s="30">
        <v>0</v>
      </c>
      <c r="M33" s="19">
        <v>0</v>
      </c>
      <c r="N33" s="19">
        <f>H33+F33-D33+L33+M33+J33+IF(K33&lt;0,K33,0)</f>
        <v>3894.0946800000011</v>
      </c>
      <c r="O33" s="18">
        <f t="shared" si="16"/>
        <v>13.736801244536634</v>
      </c>
      <c r="Q33" s="17">
        <v>1700.8740000000003</v>
      </c>
      <c r="R33" s="15"/>
      <c r="S33" s="29">
        <v>0</v>
      </c>
      <c r="T33" s="5"/>
      <c r="U33" s="30">
        <f>1175.23998+228</f>
        <v>1403.2399800000001</v>
      </c>
      <c r="V33" s="30">
        <v>-228</v>
      </c>
      <c r="W33" s="30">
        <v>0</v>
      </c>
      <c r="X33" s="19">
        <v>0</v>
      </c>
      <c r="Y33" s="19">
        <f>N33-Q33+S33+U33+X33+W33+IF(V33&lt;0,V33,0)</f>
        <v>3368.4606600000006</v>
      </c>
      <c r="Z33" s="18">
        <f t="shared" si="17"/>
        <v>16.545396165804636</v>
      </c>
      <c r="AB33" s="17">
        <v>1221.5340000000001</v>
      </c>
      <c r="AC33" s="5">
        <v>0</v>
      </c>
      <c r="AD33" s="29">
        <v>0</v>
      </c>
      <c r="AE33" s="8"/>
      <c r="AF33" s="30">
        <f>957.31668+375</f>
        <v>1332.3166799999999</v>
      </c>
      <c r="AG33" s="30">
        <v>-375</v>
      </c>
      <c r="AH33" s="30">
        <v>0</v>
      </c>
      <c r="AI33" s="19">
        <v>0</v>
      </c>
      <c r="AJ33" s="19">
        <f>Y33-AB33+AD33+AF33+AI33+AH33+IF(AG33&lt;0,AG33,0)</f>
        <v>3104.2433400000004</v>
      </c>
      <c r="AK33" s="18">
        <f t="shared" si="18"/>
        <v>13.39427310266268</v>
      </c>
      <c r="AM33" s="17">
        <v>1390.5540000000001</v>
      </c>
      <c r="AN33" s="5"/>
      <c r="AO33" s="29">
        <v>0</v>
      </c>
      <c r="AP33" s="8"/>
      <c r="AQ33" s="30">
        <f>1194.3963+389</f>
        <v>1583.3963000000001</v>
      </c>
      <c r="AR33" s="30">
        <v>-389</v>
      </c>
      <c r="AS33" s="30">
        <v>0</v>
      </c>
      <c r="AT33" s="19">
        <f>IF(K33&gt;0,K33,0)</f>
        <v>0</v>
      </c>
      <c r="AU33" s="19">
        <f>AJ33-AM33+AO33+AQ33+AT33+AS33+IF(AR33&lt;0,AR33,0)</f>
        <v>2908.0856400000002</v>
      </c>
      <c r="AV33" s="18">
        <f t="shared" si="19"/>
        <v>12.54788655456746</v>
      </c>
    </row>
    <row r="34" spans="2:48" ht="14.5" customHeight="1">
      <c r="B34" s="53"/>
      <c r="C34" s="23" t="s">
        <v>22</v>
      </c>
      <c r="D34" s="24">
        <f>(SUM(D29:D33))</f>
        <v>6052.1759999999995</v>
      </c>
      <c r="E34" s="5"/>
      <c r="F34" s="24">
        <f>(SUM(F29:F33))</f>
        <v>5400</v>
      </c>
      <c r="G34" s="5"/>
      <c r="H34" s="24">
        <f>(SUM(H29:H33))</f>
        <v>21390.278000000002</v>
      </c>
      <c r="I34" s="25">
        <f t="shared" si="15"/>
        <v>21.205871739354578</v>
      </c>
      <c r="J34" s="24">
        <f>(SUM(J29:J33))</f>
        <v>-0.37739999999939755</v>
      </c>
      <c r="K34" s="24">
        <f>(SUM(K29:K33))</f>
        <v>0</v>
      </c>
      <c r="L34" s="24">
        <f>(SUM(L29:L33))</f>
        <v>0</v>
      </c>
      <c r="M34" s="24">
        <f>(SUM(M29:M33))</f>
        <v>0</v>
      </c>
      <c r="N34" s="24">
        <f>H34+F34-D34+L34+M34+J34+IF(K34&lt;0,K34,0)</f>
        <v>20737.724600000001</v>
      </c>
      <c r="O34" s="25">
        <f t="shared" si="16"/>
        <v>18.535304154455172</v>
      </c>
      <c r="Q34" s="24">
        <f>(SUM(Q29:Q33))</f>
        <v>6712.9380000000001</v>
      </c>
      <c r="R34" s="15"/>
      <c r="S34" s="24">
        <f>(SUM(S29:S33))</f>
        <v>0</v>
      </c>
      <c r="T34" s="5"/>
      <c r="U34" s="24">
        <f>(SUM(U29:U33))</f>
        <v>-0.24899999999888678</v>
      </c>
      <c r="V34" s="24">
        <f>(SUM(V29:V33))</f>
        <v>-228</v>
      </c>
      <c r="W34" s="24">
        <f>(SUM(W29:W33))</f>
        <v>0</v>
      </c>
      <c r="X34" s="24">
        <f>(SUM(X29:X33))</f>
        <v>0</v>
      </c>
      <c r="Y34" s="24">
        <f>N34-Q34+S34+U34+X34+W34+IF(V34&lt;0,V34,0)</f>
        <v>13796.537600000003</v>
      </c>
      <c r="Z34" s="25">
        <f t="shared" si="17"/>
        <v>16.541599494515328</v>
      </c>
      <c r="AB34" s="24">
        <f>(SUM(AB29:AB33))</f>
        <v>5004.3060000000005</v>
      </c>
      <c r="AC34" s="5">
        <v>0</v>
      </c>
      <c r="AD34" s="24">
        <f>(SUM(AD29:AD33))</f>
        <v>10800</v>
      </c>
      <c r="AE34" s="8"/>
      <c r="AF34" s="24">
        <f>(SUM(AF29:AF33))</f>
        <v>0.30425999999806663</v>
      </c>
      <c r="AG34" s="24">
        <f>(SUM(AG29:AG33))</f>
        <v>-375</v>
      </c>
      <c r="AH34" s="24">
        <f>(SUM(AH29:AH33))</f>
        <v>0</v>
      </c>
      <c r="AI34" s="24">
        <f>(SUM(AI29:AI33))</f>
        <v>0</v>
      </c>
      <c r="AJ34" s="24">
        <f>Y34-AB34+AD34+AF34+AI34+AH34+IF(AG34&lt;0,AG34,0)</f>
        <v>19217.53586</v>
      </c>
      <c r="AK34" s="25">
        <f t="shared" si="18"/>
        <v>20.531818634426941</v>
      </c>
      <c r="AM34" s="24">
        <f>(SUM(AM29:AM33))</f>
        <v>5615.927999999999</v>
      </c>
      <c r="AN34" s="5"/>
      <c r="AO34" s="24">
        <f>(SUM(AO29:AO33))</f>
        <v>0</v>
      </c>
      <c r="AP34" s="8"/>
      <c r="AQ34" s="24">
        <f>(SUM(AQ29:AQ33))</f>
        <v>-0.0034000000016476406</v>
      </c>
      <c r="AR34" s="24">
        <f>(SUM(AR29:AR33))</f>
        <v>-389</v>
      </c>
      <c r="AS34" s="24">
        <f>(SUM(AS29:AS33))</f>
        <v>0</v>
      </c>
      <c r="AT34" s="24">
        <f>IF(K34&gt;0,K34,0)</f>
        <v>0</v>
      </c>
      <c r="AU34" s="24">
        <f>AJ34-AM34+AO34+AQ34+AT34+AS34+IF(AR34&lt;0,AR34,0)</f>
        <v>13212.604459999999</v>
      </c>
      <c r="AV34" s="25">
        <f t="shared" si="19"/>
        <v>14.116211383051921</v>
      </c>
    </row>
    <row r="35" spans="5:20" ht="14.5">
      <c r="E35" s="5"/>
      <c r="G35" s="5"/>
      <c r="T35" s="5"/>
    </row>
    <row r="37" spans="2:49" ht="23.5">
      <c r="B37" s="1"/>
      <c r="C37" s="43" t="s">
        <v>80</v>
      </c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2"/>
      <c r="Q37" s="43" t="s">
        <v>81</v>
      </c>
      <c r="R37" s="43"/>
      <c r="S37" s="43"/>
      <c r="T37" s="43"/>
      <c r="U37" s="43"/>
      <c r="V37" s="43"/>
      <c r="W37" s="43"/>
      <c r="X37" s="43"/>
      <c r="Y37" s="43"/>
      <c r="Z37" s="43"/>
      <c r="AA37" s="2"/>
      <c r="AB37" s="43" t="s">
        <v>82</v>
      </c>
      <c r="AC37" s="43"/>
      <c r="AD37" s="43"/>
      <c r="AE37" s="43"/>
      <c r="AF37" s="43"/>
      <c r="AG37" s="43"/>
      <c r="AH37" s="43"/>
      <c r="AI37" s="43"/>
      <c r="AJ37" s="43"/>
      <c r="AK37" s="43"/>
      <c r="AL37" s="2"/>
      <c r="AM37" s="43" t="s">
        <v>83</v>
      </c>
      <c r="AN37" s="43"/>
      <c r="AO37" s="43"/>
      <c r="AP37" s="43"/>
      <c r="AQ37" s="43"/>
      <c r="AR37" s="43"/>
      <c r="AS37" s="43"/>
      <c r="AT37" s="43"/>
      <c r="AU37" s="43"/>
      <c r="AV37" s="43"/>
      <c r="AW37" s="2"/>
    </row>
    <row r="38" spans="2:49" ht="18.5">
      <c r="B38" s="4"/>
      <c r="C38" s="44" t="s">
        <v>2</v>
      </c>
      <c r="D38" s="44"/>
      <c r="E38" s="5"/>
      <c r="F38" s="6" t="s">
        <v>3</v>
      </c>
      <c r="G38" s="5"/>
      <c r="H38" s="44" t="s">
        <v>4</v>
      </c>
      <c r="I38" s="44"/>
      <c r="J38" s="44"/>
      <c r="K38" s="44"/>
      <c r="L38" s="44"/>
      <c r="M38" s="44"/>
      <c r="N38" s="44"/>
      <c r="O38" s="6"/>
      <c r="Q38" s="6" t="s">
        <v>2</v>
      </c>
      <c r="R38" s="7"/>
      <c r="S38" s="6" t="s">
        <v>3</v>
      </c>
      <c r="T38" s="8"/>
      <c r="U38" s="44" t="s">
        <v>4</v>
      </c>
      <c r="V38" s="44"/>
      <c r="W38" s="44"/>
      <c r="X38" s="44"/>
      <c r="Y38" s="44"/>
      <c r="Z38" s="44"/>
      <c r="AA38" s="7"/>
      <c r="AB38" s="6" t="s">
        <v>2</v>
      </c>
      <c r="AC38" s="7"/>
      <c r="AD38" s="6" t="s">
        <v>3</v>
      </c>
      <c r="AE38" s="8"/>
      <c r="AF38" s="44" t="s">
        <v>4</v>
      </c>
      <c r="AG38" s="44"/>
      <c r="AH38" s="44"/>
      <c r="AI38" s="44"/>
      <c r="AJ38" s="44"/>
      <c r="AK38" s="44"/>
      <c r="AL38" s="3"/>
      <c r="AM38" s="6" t="s">
        <v>2</v>
      </c>
      <c r="AN38" s="7"/>
      <c r="AO38" s="6" t="s">
        <v>3</v>
      </c>
      <c r="AP38" s="8"/>
      <c r="AQ38" s="44" t="s">
        <v>4</v>
      </c>
      <c r="AR38" s="44"/>
      <c r="AS38" s="44"/>
      <c r="AT38" s="44"/>
      <c r="AU38" s="44"/>
      <c r="AV38" s="44"/>
      <c r="AW38" s="3"/>
    </row>
    <row r="39" spans="2:49" ht="29">
      <c r="B39" s="10"/>
      <c r="C39" s="11" t="s">
        <v>6</v>
      </c>
      <c r="D39" s="12" t="s">
        <v>2</v>
      </c>
      <c r="E39" s="5"/>
      <c r="F39" s="12" t="s">
        <v>8</v>
      </c>
      <c r="G39" s="5"/>
      <c r="H39" s="13" t="s">
        <v>51</v>
      </c>
      <c r="I39" s="14" t="s">
        <v>10</v>
      </c>
      <c r="J39" s="13" t="s">
        <v>90</v>
      </c>
      <c r="K39" s="13" t="s">
        <v>91</v>
      </c>
      <c r="L39" s="13" t="s">
        <v>92</v>
      </c>
      <c r="M39" s="13" t="s">
        <v>86</v>
      </c>
      <c r="N39" s="13" t="s">
        <v>52</v>
      </c>
      <c r="O39" s="14" t="s">
        <v>13</v>
      </c>
      <c r="Q39" s="12" t="s">
        <v>2</v>
      </c>
      <c r="R39" s="15"/>
      <c r="S39" s="13" t="s">
        <v>8</v>
      </c>
      <c r="T39" s="5"/>
      <c r="U39" s="13" t="s">
        <v>90</v>
      </c>
      <c r="V39" s="13" t="s">
        <v>91</v>
      </c>
      <c r="W39" s="13" t="s">
        <v>92</v>
      </c>
      <c r="X39" s="13" t="s">
        <v>86</v>
      </c>
      <c r="Y39" s="13" t="s">
        <v>52</v>
      </c>
      <c r="Z39" s="14" t="s">
        <v>13</v>
      </c>
      <c r="AB39" s="12" t="s">
        <v>2</v>
      </c>
      <c r="AC39" s="15"/>
      <c r="AD39" s="13" t="s">
        <v>8</v>
      </c>
      <c r="AE39" s="5"/>
      <c r="AF39" s="13" t="s">
        <v>90</v>
      </c>
      <c r="AG39" s="13" t="s">
        <v>91</v>
      </c>
      <c r="AH39" s="13" t="s">
        <v>92</v>
      </c>
      <c r="AI39" s="13" t="s">
        <v>86</v>
      </c>
      <c r="AJ39" s="13" t="s">
        <v>52</v>
      </c>
      <c r="AK39" s="14" t="s">
        <v>13</v>
      </c>
      <c r="AL39" s="3"/>
      <c r="AM39" s="12" t="s">
        <v>2</v>
      </c>
      <c r="AN39" s="15"/>
      <c r="AO39" s="13" t="s">
        <v>8</v>
      </c>
      <c r="AP39" s="5"/>
      <c r="AQ39" s="13" t="s">
        <v>90</v>
      </c>
      <c r="AR39" s="13" t="s">
        <v>91</v>
      </c>
      <c r="AS39" s="13" t="s">
        <v>92</v>
      </c>
      <c r="AT39" s="13" t="s">
        <v>86</v>
      </c>
      <c r="AU39" s="13" t="s">
        <v>52</v>
      </c>
      <c r="AV39" s="14" t="s">
        <v>13</v>
      </c>
      <c r="AW39" s="3"/>
    </row>
    <row r="40" spans="1:49" ht="14.5">
      <c r="A40" s="28">
        <v>65758</v>
      </c>
      <c r="B40" s="107" t="s">
        <v>74</v>
      </c>
      <c r="C40" s="16" t="s">
        <v>16</v>
      </c>
      <c r="D40" s="17">
        <v>7863.1739999999972</v>
      </c>
      <c r="E40" s="5"/>
      <c r="F40" s="17">
        <v>37800</v>
      </c>
      <c r="G40" s="5"/>
      <c r="H40" s="17">
        <v>30477.923999999995</v>
      </c>
      <c r="I40" s="18">
        <f>H40/(D40/6)</f>
        <v>23.256199595735772</v>
      </c>
      <c r="J40" s="30">
        <v>0</v>
      </c>
      <c r="K40" s="30">
        <v>-44421.18804000003</v>
      </c>
      <c r="L40" s="30">
        <v>0</v>
      </c>
      <c r="M40" s="19">
        <v>0</v>
      </c>
      <c r="N40" s="19">
        <f>H40+F40-D40+L40+M40+J40+IF(K40&lt;0,K40,0)</f>
        <v>15993.56195999997</v>
      </c>
      <c r="O40" s="18">
        <f>N40/(Q40/6)</f>
        <v>11.853246621576531</v>
      </c>
      <c r="P40" s="17"/>
      <c r="Q40" s="20">
        <v>8095.7879999999996</v>
      </c>
      <c r="R40" s="20"/>
      <c r="S40" s="17">
        <v>21600</v>
      </c>
      <c r="T40" s="19"/>
      <c r="U40" s="30">
        <v>0</v>
      </c>
      <c r="V40" s="30">
        <v>-22462.986239999998</v>
      </c>
      <c r="W40" s="30">
        <v>0</v>
      </c>
      <c r="X40" s="19">
        <v>0</v>
      </c>
      <c r="Y40" s="19">
        <f>N40-Q40+S40+U40+X40+W40+IF(V40&lt;0,V40,0)</f>
        <v>7034.7877199999712</v>
      </c>
      <c r="Z40" s="18">
        <f>Y40/(AB40/6)</f>
        <v>5.2136649724523201</v>
      </c>
      <c r="AA40" s="5"/>
      <c r="AB40" s="20">
        <v>8095.7879999999996</v>
      </c>
      <c r="AC40" s="20"/>
      <c r="AD40" s="17">
        <v>32400</v>
      </c>
      <c r="AE40" s="19"/>
      <c r="AF40" s="30">
        <v>0</v>
      </c>
      <c r="AG40" s="30">
        <v>-22462.986239999998</v>
      </c>
      <c r="AH40" s="30">
        <v>0</v>
      </c>
      <c r="AI40" s="19">
        <v>0</v>
      </c>
      <c r="AJ40" s="19">
        <f>Y40-AB40+AD40+AF40+AI40+AH40+IF(AG40&lt;0,AG40,0)</f>
        <v>8876.0134799999723</v>
      </c>
      <c r="AK40" s="18">
        <f>AJ40/(AM40/6)</f>
        <v>7.7027465335089556</v>
      </c>
      <c r="AL40" s="3"/>
      <c r="AM40" s="20">
        <v>6913.9080000000004</v>
      </c>
      <c r="AN40" s="20">
        <v>0</v>
      </c>
      <c r="AO40" s="17">
        <v>28980</v>
      </c>
      <c r="AP40" s="19"/>
      <c r="AQ40" s="30">
        <v>0</v>
      </c>
      <c r="AR40" s="30">
        <v>-22462.986239999998</v>
      </c>
      <c r="AS40" s="30">
        <v>0</v>
      </c>
      <c r="AT40" s="19">
        <f>IF(K40&gt;0,K40,0)</f>
        <v>0</v>
      </c>
      <c r="AU40" s="19">
        <f>AJ40-AM40+AO40+AQ40+AT40+AS40+IF(AR40&lt;0,AR40,0)</f>
        <v>8479.1192399999745</v>
      </c>
      <c r="AV40" s="18">
        <f>AU40/(AM40/6)</f>
        <v>7.358315360863906</v>
      </c>
      <c r="AW40" s="3"/>
    </row>
    <row r="41" spans="1:49" ht="14.5">
      <c r="A41" s="28">
        <v>70792</v>
      </c>
      <c r="B41" s="107" t="s">
        <v>75</v>
      </c>
      <c r="C41" s="16" t="s">
        <v>16</v>
      </c>
      <c r="D41" s="17">
        <v>4733.7480000000005</v>
      </c>
      <c r="E41" s="5"/>
      <c r="F41" s="17">
        <v>7200</v>
      </c>
      <c r="G41" s="5"/>
      <c r="H41" s="17">
        <v>33738.264000000003</v>
      </c>
      <c r="I41" s="18">
        <f>H41/(D41/6)</f>
        <v>42.763067235518243</v>
      </c>
      <c r="J41" s="30">
        <v>0</v>
      </c>
      <c r="K41" s="30">
        <v>-16866.101519999997</v>
      </c>
      <c r="L41" s="30">
        <v>0</v>
      </c>
      <c r="M41" s="19">
        <v>0</v>
      </c>
      <c r="N41" s="19">
        <f>H41+F41-D41+L41+M41+J41+IF(K41&lt;0,K41,0)</f>
        <v>19338.414480000007</v>
      </c>
      <c r="O41" s="18">
        <f>N41/(Q41/6)</f>
        <v>18.32194937270128</v>
      </c>
      <c r="P41" s="17"/>
      <c r="Q41" s="20">
        <v>6332.8680000000013</v>
      </c>
      <c r="R41" s="20"/>
      <c r="S41" s="17">
        <v>17280</v>
      </c>
      <c r="T41" s="19"/>
      <c r="U41" s="30">
        <v>0</v>
      </c>
      <c r="V41" s="30">
        <v>-10454.801939999996</v>
      </c>
      <c r="W41" s="30">
        <v>0</v>
      </c>
      <c r="X41" s="19">
        <v>0</v>
      </c>
      <c r="Y41" s="19">
        <f>N41-Q41+S41+U41+X41+W41+IF(V41&lt;0,V41,0)</f>
        <v>19830.744540000007</v>
      </c>
      <c r="Z41" s="18">
        <f>Y41/(AB41/6)</f>
        <v>18.788401596243599</v>
      </c>
      <c r="AA41" s="5"/>
      <c r="AB41" s="20">
        <v>6332.8680000000013</v>
      </c>
      <c r="AC41" s="20"/>
      <c r="AD41" s="17">
        <v>3600</v>
      </c>
      <c r="AE41" s="19"/>
      <c r="AF41" s="30">
        <v>0</v>
      </c>
      <c r="AG41" s="30">
        <v>-10454.801939999996</v>
      </c>
      <c r="AH41" s="30">
        <v>0</v>
      </c>
      <c r="AI41" s="19">
        <v>0</v>
      </c>
      <c r="AJ41" s="19">
        <f>Y41-AB41+AD41+AF41+AI41+AH41+IF(AG41&lt;0,AG41,0)</f>
        <v>6643.074600000009</v>
      </c>
      <c r="AK41" s="18">
        <f>AJ41/(AM41/6)</f>
        <v>7.3754902875110027</v>
      </c>
      <c r="AL41" s="3"/>
      <c r="AM41" s="20">
        <v>5404.1759999999995</v>
      </c>
      <c r="AN41" s="20">
        <v>0</v>
      </c>
      <c r="AO41" s="17">
        <v>13320</v>
      </c>
      <c r="AP41" s="19"/>
      <c r="AQ41" s="30">
        <v>0</v>
      </c>
      <c r="AR41" s="30">
        <v>-10454.801939999996</v>
      </c>
      <c r="AS41" s="30">
        <v>0</v>
      </c>
      <c r="AT41" s="19">
        <f>IF(K41&gt;0,K41,0)</f>
        <v>0</v>
      </c>
      <c r="AU41" s="19">
        <f>AJ41-AM41+AO41+AQ41+AT41+AS41+IF(AR41&lt;0,AR41,0)</f>
        <v>4104.0966600000138</v>
      </c>
      <c r="AV41" s="18">
        <f>AU41/(AM41/6)</f>
        <v>4.5565836419835488</v>
      </c>
      <c r="AW41" s="3"/>
    </row>
    <row r="42" spans="1:49" ht="14.5">
      <c r="A42" s="28">
        <v>83179</v>
      </c>
      <c r="B42" s="107" t="s">
        <v>76</v>
      </c>
      <c r="C42" s="16" t="s">
        <v>16</v>
      </c>
      <c r="D42" s="17">
        <v>3046.0680000000002</v>
      </c>
      <c r="E42" s="5"/>
      <c r="F42" s="17">
        <v>0</v>
      </c>
      <c r="G42" s="5"/>
      <c r="H42" s="17">
        <v>28796.094000000001</v>
      </c>
      <c r="I42" s="18">
        <f>H42/(D42/6)</f>
        <v>56.721177596823182</v>
      </c>
      <c r="J42" s="30">
        <v>0</v>
      </c>
      <c r="K42" s="30">
        <v>0</v>
      </c>
      <c r="L42" s="30">
        <v>0</v>
      </c>
      <c r="M42" s="19">
        <v>0</v>
      </c>
      <c r="N42" s="19">
        <f>H42+F42-D42+L42+M42+J42+IF(K42&lt;0,K42,0)</f>
        <v>25750.026000000002</v>
      </c>
      <c r="O42" s="18">
        <f>N42/(Q42/6)</f>
        <v>46.521674561793375</v>
      </c>
      <c r="P42" s="17"/>
      <c r="Q42" s="20">
        <v>3321.0359999999996</v>
      </c>
      <c r="R42" s="20"/>
      <c r="S42" s="17">
        <v>7200</v>
      </c>
      <c r="T42" s="19"/>
      <c r="U42" s="30">
        <v>0</v>
      </c>
      <c r="V42" s="30">
        <v>-3144.2956200000008</v>
      </c>
      <c r="W42" s="30">
        <v>0</v>
      </c>
      <c r="X42" s="19">
        <v>0</v>
      </c>
      <c r="Y42" s="19">
        <f>N42-Q42+S42+U42+X42+W42+IF(V42&lt;0,V42,0)</f>
        <v>26484.694380000001</v>
      </c>
      <c r="Z42" s="18">
        <f>Y42/(AB42/6)</f>
        <v>64.948328588139248</v>
      </c>
      <c r="AA42" s="5"/>
      <c r="AB42" s="20">
        <v>2446.6859999999992</v>
      </c>
      <c r="AC42" s="20"/>
      <c r="AD42" s="17">
        <v>7200</v>
      </c>
      <c r="AE42" s="19"/>
      <c r="AF42" s="30">
        <v>0</v>
      </c>
      <c r="AG42" s="30">
        <v>-2900.8015199999959</v>
      </c>
      <c r="AH42" s="30">
        <v>0</v>
      </c>
      <c r="AI42" s="19">
        <v>0</v>
      </c>
      <c r="AJ42" s="19">
        <f>Y42-AB42+AD42+AF42+AI42+AH42+IF(AG42&lt;0,AG42,0)</f>
        <v>28337.206860000006</v>
      </c>
      <c r="AK42" s="18">
        <f>AJ42/(AM42/6)</f>
        <v>60.695879941397223</v>
      </c>
      <c r="AL42" s="3"/>
      <c r="AM42" s="20">
        <v>2801.232</v>
      </c>
      <c r="AN42" s="20">
        <v>0</v>
      </c>
      <c r="AO42" s="17">
        <v>7200</v>
      </c>
      <c r="AP42" s="19"/>
      <c r="AQ42" s="30">
        <v>0</v>
      </c>
      <c r="AR42" s="30">
        <v>-2900.8015199999959</v>
      </c>
      <c r="AS42" s="30">
        <v>0</v>
      </c>
      <c r="AT42" s="19">
        <f>IF(K42&gt;0,K42,0)</f>
        <v>0</v>
      </c>
      <c r="AU42" s="19">
        <f>AJ42-AM42+AO42+AQ42+AT42+AS42+IF(AR42&lt;0,AR42,0)</f>
        <v>29835.173340000008</v>
      </c>
      <c r="AV42" s="18">
        <f>AU42/(AM42/6)</f>
        <v>63.904396365599155</v>
      </c>
      <c r="AW42" s="3"/>
    </row>
    <row r="43" spans="49:49" ht="14.5">
      <c r="AW43" s="3"/>
    </row>
    <row r="44" spans="25:49" ht="14.5">
      <c r="Y44" t="s">
        <v>84</v>
      </c>
      <c r="AW44" s="3"/>
    </row>
    <row r="47" spans="2:2" ht="29">
      <c r="B47" s="26" t="s">
        <v>59</v>
      </c>
    </row>
    <row r="49" spans="2:2" ht="14.5">
      <c r="B49" s="26" t="s">
        <v>71</v>
      </c>
    </row>
  </sheetData>
  <sheetProtection/>
  <mergeCells count="22">
    <mergeCell ref="AB37:AK37"/>
    <mergeCell ref="AM37:AV37"/>
    <mergeCell ref="C38:D38"/>
    <mergeCell ref="H38:N38"/>
    <mergeCell ref="U38:Z38"/>
    <mergeCell ref="AF38:AK38"/>
    <mergeCell ref="AQ38:AV38"/>
    <mergeCell ref="B5:B10"/>
    <mergeCell ref="B13:B18"/>
    <mergeCell ref="B21:B26"/>
    <mergeCell ref="B29:B34"/>
    <mergeCell ref="C37:O37"/>
    <mergeCell ref="Q37:Z37"/>
    <mergeCell ref="C2:O2"/>
    <mergeCell ref="Q2:Z2"/>
    <mergeCell ref="AB2:AK2"/>
    <mergeCell ref="AM2:AV2"/>
    <mergeCell ref="C3:D3"/>
    <mergeCell ref="H3:N3"/>
    <mergeCell ref="U3:Z3"/>
    <mergeCell ref="AF3:AK3"/>
    <mergeCell ref="AQ3:AV3"/>
  </mergeCells>
  <conditionalFormatting sqref="I5:I10 O5:O10 Z5:Z10 AK5:AK10 AV5:AV10">
    <cfRule type="cellIs" priority="26" dxfId="104" operator="greaterThan">
      <formula>40</formula>
    </cfRule>
    <cfRule type="cellIs" priority="27" dxfId="103" operator="between">
      <formula>10</formula>
      <formula>40</formula>
    </cfRule>
    <cfRule type="cellIs" priority="28" dxfId="102" operator="lessThan">
      <formula>0</formula>
    </cfRule>
    <cfRule type="cellIs" priority="29" dxfId="101" operator="between">
      <formula>0</formula>
      <formula>4</formula>
    </cfRule>
    <cfRule type="cellIs" priority="30" dxfId="100" operator="between">
      <formula>4</formula>
      <formula>10</formula>
    </cfRule>
  </conditionalFormatting>
  <conditionalFormatting sqref="I13:I17 O13:O17 Z13:Z17 AK13:AK17">
    <cfRule type="cellIs" priority="31" dxfId="104" operator="greaterThan">
      <formula>40</formula>
    </cfRule>
    <cfRule type="cellIs" priority="32" dxfId="103" operator="between">
      <formula>10</formula>
      <formula>40</formula>
    </cfRule>
    <cfRule type="cellIs" priority="33" dxfId="102" operator="lessThan">
      <formula>0</formula>
    </cfRule>
    <cfRule type="cellIs" priority="34" dxfId="101" operator="between">
      <formula>0</formula>
      <formula>4</formula>
    </cfRule>
    <cfRule type="cellIs" priority="35" dxfId="100" operator="between">
      <formula>4</formula>
      <formula>10</formula>
    </cfRule>
  </conditionalFormatting>
  <conditionalFormatting sqref="I21:I25 O21:O25 Z21:Z25 AK21:AK25 O40:O42 Z40:Z42 AK40:AK42 AV40:AV42">
    <cfRule type="cellIs" priority="41" dxfId="104" operator="greaterThan">
      <formula>40</formula>
    </cfRule>
    <cfRule type="cellIs" priority="42" dxfId="103" operator="between">
      <formula>10</formula>
      <formula>40</formula>
    </cfRule>
    <cfRule type="cellIs" priority="43" dxfId="102" operator="lessThan">
      <formula>0</formula>
    </cfRule>
    <cfRule type="cellIs" priority="44" dxfId="101" operator="between">
      <formula>0</formula>
      <formula>4</formula>
    </cfRule>
    <cfRule type="cellIs" priority="45" dxfId="100" operator="between">
      <formula>4</formula>
      <formula>10</formula>
    </cfRule>
  </conditionalFormatting>
  <conditionalFormatting sqref="I29:I33 O29:O33 Z29:Z33 AK29:AK33">
    <cfRule type="cellIs" priority="21" dxfId="104" operator="greaterThan">
      <formula>40</formula>
    </cfRule>
    <cfRule type="cellIs" priority="22" dxfId="103" operator="between">
      <formula>10</formula>
      <formula>40</formula>
    </cfRule>
    <cfRule type="cellIs" priority="23" dxfId="102" operator="lessThan">
      <formula>0</formula>
    </cfRule>
    <cfRule type="cellIs" priority="24" dxfId="101" operator="between">
      <formula>0</formula>
      <formula>4</formula>
    </cfRule>
    <cfRule type="cellIs" priority="25" dxfId="100" operator="between">
      <formula>4</formula>
      <formula>10</formula>
    </cfRule>
  </conditionalFormatting>
  <conditionalFormatting sqref="I40:I42">
    <cfRule type="cellIs" priority="36" dxfId="104" operator="greaterThan">
      <formula>40</formula>
    </cfRule>
    <cfRule type="cellIs" priority="37" dxfId="103" operator="between">
      <formula>10</formula>
      <formula>40</formula>
    </cfRule>
    <cfRule type="cellIs" priority="38" dxfId="102" operator="lessThan">
      <formula>0</formula>
    </cfRule>
    <cfRule type="cellIs" priority="39" dxfId="101" operator="between">
      <formula>0</formula>
      <formula>4</formula>
    </cfRule>
    <cfRule type="cellIs" priority="40" dxfId="100" operator="between">
      <formula>4</formula>
      <formula>10</formula>
    </cfRule>
  </conditionalFormatting>
  <conditionalFormatting sqref="AV13:AV17 AV21:AV25 AV29:AV33">
    <cfRule type="cellIs" priority="16" dxfId="104" operator="greaterThan">
      <formula>40</formula>
    </cfRule>
    <cfRule type="cellIs" priority="17" dxfId="103" operator="between">
      <formula>10</formula>
      <formula>40</formula>
    </cfRule>
    <cfRule type="cellIs" priority="18" dxfId="102" operator="lessThan">
      <formula>0</formula>
    </cfRule>
    <cfRule type="cellIs" priority="19" dxfId="101" operator="between">
      <formula>0</formula>
      <formula>4</formula>
    </cfRule>
    <cfRule type="cellIs" priority="20" dxfId="100" operator="between">
      <formula>4</formula>
      <formula>10</formula>
    </cfRule>
  </conditionalFormatting>
  <conditionalFormatting sqref="I18 O18 Z18 AK18 AV18">
    <cfRule type="cellIs" priority="11" dxfId="104" operator="greaterThan">
      <formula>40</formula>
    </cfRule>
    <cfRule type="cellIs" priority="12" dxfId="103" operator="between">
      <formula>10</formula>
      <formula>40</formula>
    </cfRule>
    <cfRule type="cellIs" priority="13" dxfId="102" operator="lessThan">
      <formula>0</formula>
    </cfRule>
    <cfRule type="cellIs" priority="14" dxfId="101" operator="between">
      <formula>0</formula>
      <formula>4</formula>
    </cfRule>
    <cfRule type="cellIs" priority="15" dxfId="100" operator="between">
      <formula>4</formula>
      <formula>10</formula>
    </cfRule>
  </conditionalFormatting>
  <conditionalFormatting sqref="I26 O26 Z26 AK26 AV26">
    <cfRule type="cellIs" priority="6" dxfId="104" operator="greaterThan">
      <formula>40</formula>
    </cfRule>
    <cfRule type="cellIs" priority="7" dxfId="103" operator="between">
      <formula>10</formula>
      <formula>40</formula>
    </cfRule>
    <cfRule type="cellIs" priority="8" dxfId="102" operator="lessThan">
      <formula>0</formula>
    </cfRule>
    <cfRule type="cellIs" priority="9" dxfId="101" operator="between">
      <formula>0</formula>
      <formula>4</formula>
    </cfRule>
    <cfRule type="cellIs" priority="10" dxfId="100" operator="between">
      <formula>4</formula>
      <formula>10</formula>
    </cfRule>
  </conditionalFormatting>
  <conditionalFormatting sqref="I34 O34 Z34 AK34 AV34">
    <cfRule type="cellIs" priority="1" dxfId="104" operator="greaterThan">
      <formula>40</formula>
    </cfRule>
    <cfRule type="cellIs" priority="2" dxfId="103" operator="between">
      <formula>10</formula>
      <formula>40</formula>
    </cfRule>
    <cfRule type="cellIs" priority="3" dxfId="102" operator="lessThan">
      <formula>0</formula>
    </cfRule>
    <cfRule type="cellIs" priority="4" dxfId="101" operator="between">
      <formula>0</formula>
      <formula>4</formula>
    </cfRule>
    <cfRule type="cellIs" priority="5" dxfId="100" operator="between">
      <formula>4</formula>
      <formula>10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1975236-F136-4628-BA64-4B640D6C9A54}">
  <sheetPr codeName=""/>
  <dimension ref="A2:AW49"/>
  <sheetViews>
    <sheetView showGridLines="0" zoomScale="55" zoomScaleNormal="55" workbookViewId="0" topLeftCell="A1">
      <pane xSplit="3" ySplit="4" topLeftCell="D5" activePane="bottomRight" state="frozen"/>
      <selection pane="topLeft" activeCell="A1" sqref="A1"/>
      <selection pane="topRight" activeCell="D1" sqref="D1"/>
      <selection pane="bottomLeft" activeCell="A6" sqref="A6"/>
      <selection pane="bottomRight" activeCell="C5" sqref="C5"/>
    </sheetView>
  </sheetViews>
  <sheetFormatPr defaultColWidth="9.14285714285714" defaultRowHeight="14.5"/>
  <cols>
    <col min="1" max="1" width="10.1428571428571" hidden="1" customWidth="1"/>
    <col min="2" max="2" width="51.8571428571429" style="26" customWidth="1"/>
    <col min="3" max="3" width="13.1428571428571" customWidth="1"/>
    <col min="4" max="4" width="12.5714285714286" customWidth="1"/>
    <col min="5" max="5" width="1.14285714285714" customWidth="1"/>
    <col min="6" max="6" width="9.85714285714286" customWidth="1"/>
    <col min="7" max="7" width="1.14285714285714" customWidth="1"/>
    <col min="8" max="8" width="14" customWidth="1"/>
    <col min="9" max="10" width="12.4285714285714" customWidth="1"/>
    <col min="11" max="11" width="15" customWidth="1"/>
    <col min="12" max="12" width="14.5714285714286" customWidth="1"/>
    <col min="13" max="13" width="11.4285714285714" customWidth="1"/>
    <col min="14" max="14" width="14.1428571428571" customWidth="1"/>
    <col min="15" max="15" width="11.8571428571429" customWidth="1"/>
    <col min="16" max="16" width="1.14285714285714" customWidth="1"/>
    <col min="17" max="17" width="14.8571428571429" customWidth="1"/>
    <col min="18" max="18" width="1.14285714285714" customWidth="1"/>
    <col min="19" max="19" width="11.1428571428571" customWidth="1"/>
    <col min="20" max="20" width="1.14285714285714" customWidth="1"/>
    <col min="21" max="21" width="14.4285714285714" customWidth="1"/>
    <col min="22" max="23" width="18.1428571428571" customWidth="1"/>
    <col min="24" max="24" width="11.4285714285714" customWidth="1"/>
    <col min="25" max="25" width="14.1428571428571" customWidth="1"/>
    <col min="26" max="26" width="11.8571428571429" customWidth="1"/>
    <col min="27" max="27" width="1.14285714285714" customWidth="1"/>
    <col min="28" max="28" width="14.8571428571429" customWidth="1"/>
    <col min="29" max="29" width="1.14285714285714" customWidth="1"/>
    <col min="30" max="30" width="9.85714285714286" customWidth="1"/>
    <col min="31" max="31" width="1.14285714285714" customWidth="1"/>
    <col min="32" max="32" width="14.8571428571429" customWidth="1"/>
    <col min="33" max="34" width="18.1428571428571" customWidth="1"/>
    <col min="35" max="35" width="11.4285714285714" customWidth="1"/>
    <col min="36" max="36" width="14.1428571428571" customWidth="1"/>
    <col min="37" max="37" width="11.8571428571429" customWidth="1"/>
    <col min="38" max="38" width="1.14285714285714" customWidth="1"/>
    <col min="39" max="39" width="14.8571428571429" customWidth="1"/>
    <col min="40" max="40" width="1.14285714285714" customWidth="1"/>
    <col min="41" max="41" width="9.85714285714286" customWidth="1"/>
    <col min="42" max="42" width="1.14285714285714" customWidth="1"/>
    <col min="43" max="43" width="14.8571428571429" customWidth="1"/>
    <col min="44" max="45" width="18.1428571428571" customWidth="1"/>
    <col min="46" max="46" width="11.4285714285714" customWidth="1"/>
    <col min="47" max="47" width="14.1428571428571" customWidth="1"/>
    <col min="48" max="48" width="11.8571428571429" customWidth="1"/>
    <col min="49" max="49" width="1.14285714285714" customWidth="1"/>
  </cols>
  <sheetData>
    <row r="2" spans="2:49" ht="23.5">
      <c r="B2" s="1"/>
      <c r="C2" s="43" t="s">
        <v>80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2"/>
      <c r="Q2" s="43" t="s">
        <v>81</v>
      </c>
      <c r="R2" s="43"/>
      <c r="S2" s="43"/>
      <c r="T2" s="43"/>
      <c r="U2" s="43"/>
      <c r="V2" s="43"/>
      <c r="W2" s="43"/>
      <c r="X2" s="43"/>
      <c r="Y2" s="43"/>
      <c r="Z2" s="43"/>
      <c r="AA2" s="2"/>
      <c r="AB2" s="43" t="s">
        <v>82</v>
      </c>
      <c r="AC2" s="43"/>
      <c r="AD2" s="43"/>
      <c r="AE2" s="43"/>
      <c r="AF2" s="43"/>
      <c r="AG2" s="43"/>
      <c r="AH2" s="43"/>
      <c r="AI2" s="43"/>
      <c r="AJ2" s="43"/>
      <c r="AK2" s="43"/>
      <c r="AL2" s="2"/>
      <c r="AM2" s="43" t="s">
        <v>83</v>
      </c>
      <c r="AN2" s="43"/>
      <c r="AO2" s="43"/>
      <c r="AP2" s="43"/>
      <c r="AQ2" s="43"/>
      <c r="AR2" s="43"/>
      <c r="AS2" s="43"/>
      <c r="AT2" s="43"/>
      <c r="AU2" s="43"/>
      <c r="AV2" s="43"/>
      <c r="AW2" s="2"/>
    </row>
    <row r="3" spans="2:49" ht="18.5">
      <c r="B3" s="4"/>
      <c r="C3" s="44" t="s">
        <v>2</v>
      </c>
      <c r="D3" s="44"/>
      <c r="E3" s="5"/>
      <c r="F3" s="6" t="s">
        <v>3</v>
      </c>
      <c r="G3" s="5"/>
      <c r="H3" s="44" t="s">
        <v>4</v>
      </c>
      <c r="I3" s="44"/>
      <c r="J3" s="44"/>
      <c r="K3" s="44"/>
      <c r="L3" s="44"/>
      <c r="M3" s="44"/>
      <c r="N3" s="44"/>
      <c r="O3" s="6"/>
      <c r="Q3" s="6" t="s">
        <v>2</v>
      </c>
      <c r="R3" s="7"/>
      <c r="S3" s="6" t="s">
        <v>3</v>
      </c>
      <c r="T3" s="8"/>
      <c r="U3" s="44" t="s">
        <v>4</v>
      </c>
      <c r="V3" s="44"/>
      <c r="W3" s="44"/>
      <c r="X3" s="44"/>
      <c r="Y3" s="44"/>
      <c r="Z3" s="44"/>
      <c r="AA3" s="7"/>
      <c r="AB3" s="6" t="s">
        <v>2</v>
      </c>
      <c r="AC3" s="9"/>
      <c r="AD3" s="6" t="s">
        <v>3</v>
      </c>
      <c r="AE3" s="8"/>
      <c r="AF3" s="44" t="s">
        <v>4</v>
      </c>
      <c r="AG3" s="44"/>
      <c r="AH3" s="44"/>
      <c r="AI3" s="44"/>
      <c r="AJ3" s="44"/>
      <c r="AK3" s="44"/>
      <c r="AL3" s="7"/>
      <c r="AM3" s="6" t="s">
        <v>2</v>
      </c>
      <c r="AN3" s="9"/>
      <c r="AO3" s="6" t="s">
        <v>3</v>
      </c>
      <c r="AP3" s="8"/>
      <c r="AQ3" s="44" t="s">
        <v>4</v>
      </c>
      <c r="AR3" s="44"/>
      <c r="AS3" s="44"/>
      <c r="AT3" s="44"/>
      <c r="AU3" s="44"/>
      <c r="AV3" s="44"/>
      <c r="AW3" s="7"/>
    </row>
    <row r="4" spans="2:48" ht="29">
      <c r="B4" s="10"/>
      <c r="C4" s="11" t="s">
        <v>6</v>
      </c>
      <c r="D4" s="12" t="s">
        <v>2</v>
      </c>
      <c r="E4" s="5"/>
      <c r="F4" s="12" t="s">
        <v>8</v>
      </c>
      <c r="G4" s="5"/>
      <c r="H4" s="13" t="s">
        <v>51</v>
      </c>
      <c r="I4" s="14" t="s">
        <v>10</v>
      </c>
      <c r="J4" s="13" t="s">
        <v>90</v>
      </c>
      <c r="K4" s="13" t="s">
        <v>91</v>
      </c>
      <c r="L4" s="13" t="s">
        <v>92</v>
      </c>
      <c r="M4" s="13" t="s">
        <v>86</v>
      </c>
      <c r="N4" s="13" t="s">
        <v>52</v>
      </c>
      <c r="O4" s="14" t="s">
        <v>13</v>
      </c>
      <c r="Q4" s="12" t="s">
        <v>2</v>
      </c>
      <c r="R4" s="15"/>
      <c r="S4" s="13" t="s">
        <v>8</v>
      </c>
      <c r="T4" s="5"/>
      <c r="U4" s="13" t="s">
        <v>90</v>
      </c>
      <c r="V4" s="13" t="s">
        <v>91</v>
      </c>
      <c r="W4" s="13" t="s">
        <v>92</v>
      </c>
      <c r="X4" s="13" t="s">
        <v>86</v>
      </c>
      <c r="Y4" s="13" t="s">
        <v>52</v>
      </c>
      <c r="Z4" s="14" t="s">
        <v>13</v>
      </c>
      <c r="AB4" s="13" t="s">
        <v>2</v>
      </c>
      <c r="AC4" s="5">
        <v>0</v>
      </c>
      <c r="AD4" s="13" t="s">
        <v>53</v>
      </c>
      <c r="AE4" s="8"/>
      <c r="AF4" s="13" t="s">
        <v>90</v>
      </c>
      <c r="AG4" s="13" t="s">
        <v>91</v>
      </c>
      <c r="AH4" s="13" t="s">
        <v>92</v>
      </c>
      <c r="AI4" s="13" t="s">
        <v>86</v>
      </c>
      <c r="AJ4" s="13" t="s">
        <v>52</v>
      </c>
      <c r="AK4" s="14" t="s">
        <v>13</v>
      </c>
      <c r="AM4" s="13" t="s">
        <v>2</v>
      </c>
      <c r="AN4" s="5"/>
      <c r="AO4" s="13" t="s">
        <v>53</v>
      </c>
      <c r="AP4" s="8"/>
      <c r="AQ4" s="13" t="s">
        <v>90</v>
      </c>
      <c r="AR4" s="13" t="s">
        <v>91</v>
      </c>
      <c r="AS4" s="13" t="s">
        <v>92</v>
      </c>
      <c r="AT4" s="13" t="s">
        <v>86</v>
      </c>
      <c r="AU4" s="13" t="s">
        <v>52</v>
      </c>
      <c r="AV4" s="14" t="s">
        <v>13</v>
      </c>
    </row>
    <row r="5" spans="1:48" ht="14.5" customHeight="1">
      <c r="A5">
        <v>70934</v>
      </c>
      <c r="B5" s="47" t="s">
        <v>73</v>
      </c>
      <c r="C5" s="16" t="s">
        <v>54</v>
      </c>
      <c r="D5" s="17">
        <v>2292.9119999999998</v>
      </c>
      <c r="E5" s="5"/>
      <c r="F5" s="29">
        <v>0</v>
      </c>
      <c r="G5" s="5"/>
      <c r="H5" s="17">
        <v>3440.1780000000003</v>
      </c>
      <c r="I5" s="18">
        <f t="shared" si="0" ref="I5:I10">H5/(D5/6)</f>
        <v>9.0021195754568879</v>
      </c>
      <c r="J5" s="30">
        <v>2795.4586800000011</v>
      </c>
      <c r="K5" s="30">
        <v>0</v>
      </c>
      <c r="L5" s="30">
        <v>0</v>
      </c>
      <c r="M5" s="19">
        <v>0</v>
      </c>
      <c r="N5" s="19">
        <f>H5+F5-D5+L5+M5+J5+IF(K5&lt;0,K5,0)</f>
        <v>3942.7246800000016</v>
      </c>
      <c r="O5" s="18">
        <f t="shared" si="1" ref="O5:O10">N5/(Q5/6)</f>
        <v>8.1172119969365326</v>
      </c>
      <c r="Q5" s="17">
        <v>2914.3440000000005</v>
      </c>
      <c r="R5" s="15"/>
      <c r="S5" s="29">
        <v>0</v>
      </c>
      <c r="T5" s="5"/>
      <c r="U5" s="30">
        <v>2186.2126800000005</v>
      </c>
      <c r="V5" s="30">
        <v>0</v>
      </c>
      <c r="W5" s="30">
        <v>0</v>
      </c>
      <c r="X5" s="19">
        <v>0</v>
      </c>
      <c r="Y5" s="19">
        <f>N5-Q5+S5+U5+X5+W5+IF(V5&lt;0,V5,0)</f>
        <v>3214.5933600000017</v>
      </c>
      <c r="Z5" s="18">
        <f t="shared" si="2" ref="Z5:Z10">Y5/(AB5/6)</f>
        <v>8.9207282899173368</v>
      </c>
      <c r="AB5" s="17">
        <v>2162.1059999999998</v>
      </c>
      <c r="AC5" s="5">
        <v>0</v>
      </c>
      <c r="AD5" s="29">
        <v>0</v>
      </c>
      <c r="AE5" s="8"/>
      <c r="AF5" s="30">
        <v>1726.3737000000001</v>
      </c>
      <c r="AG5" s="30">
        <v>0</v>
      </c>
      <c r="AH5" s="30">
        <v>0</v>
      </c>
      <c r="AI5" s="19">
        <v>0</v>
      </c>
      <c r="AJ5" s="19">
        <f>Y5-AB5+AD5+AF5+AI5+AH5+IF(AG5&lt;0,AG5,0)</f>
        <v>2778.861060000002</v>
      </c>
      <c r="AK5" s="18">
        <f t="shared" si="3" ref="AK5:AK10">AJ5/(AM5/6)</f>
        <v>7.1503660532328839</v>
      </c>
      <c r="AM5" s="17">
        <v>2331.7919999999999</v>
      </c>
      <c r="AN5" s="5"/>
      <c r="AO5" s="29">
        <v>0</v>
      </c>
      <c r="AP5" s="8"/>
      <c r="AQ5" s="30">
        <v>3298.0865399999998</v>
      </c>
      <c r="AR5" s="30">
        <v>0</v>
      </c>
      <c r="AS5" s="30">
        <v>0</v>
      </c>
      <c r="AT5" s="19">
        <f>IF(K5&gt;0,K5,0)</f>
        <v>0</v>
      </c>
      <c r="AU5" s="19">
        <f>AJ5-AM5+AO5+AQ5+AT5+AS5+IF(AR5&lt;0,AR5,0)</f>
        <v>3745.1556000000019</v>
      </c>
      <c r="AV5" s="18">
        <f t="shared" si="4" ref="AV5:AV10">AU5/(AM5/6)</f>
        <v>9.6367658864941692</v>
      </c>
    </row>
    <row r="6" spans="1:48" ht="14.5" customHeight="1">
      <c r="A6">
        <v>70934</v>
      </c>
      <c r="B6" s="53"/>
      <c r="C6" s="16" t="s">
        <v>55</v>
      </c>
      <c r="D6" s="17">
        <v>2675.1780000000008</v>
      </c>
      <c r="E6" s="5"/>
      <c r="F6" s="29">
        <v>0</v>
      </c>
      <c r="G6" s="5"/>
      <c r="H6" s="17">
        <v>6085.2420000000002</v>
      </c>
      <c r="I6" s="18">
        <f t="shared" si="0"/>
        <v>13.648232753110257</v>
      </c>
      <c r="J6" s="30">
        <v>1403.5570200000002</v>
      </c>
      <c r="K6" s="30">
        <v>0</v>
      </c>
      <c r="L6" s="30">
        <v>0</v>
      </c>
      <c r="M6" s="19">
        <v>0</v>
      </c>
      <c r="N6" s="19">
        <f>H6+F6-D6+L6+M6+J6+IF(K6&lt;0,K6,0)</f>
        <v>4813.6210199999996</v>
      </c>
      <c r="O6" s="18">
        <f t="shared" si="1"/>
        <v>11.578357350574755</v>
      </c>
      <c r="Q6" s="17">
        <v>2494.4579999999996</v>
      </c>
      <c r="R6" s="15"/>
      <c r="S6" s="29">
        <v>0</v>
      </c>
      <c r="T6" s="5"/>
      <c r="U6" s="30">
        <v>1831.9976999999999</v>
      </c>
      <c r="V6" s="30">
        <v>0</v>
      </c>
      <c r="W6" s="30">
        <v>0</v>
      </c>
      <c r="X6" s="19">
        <v>0</v>
      </c>
      <c r="Y6" s="19">
        <f>N6-Q6+S6+U6+X6+W6+IF(V6&lt;0,V6,0)</f>
        <v>4151.1607199999999</v>
      </c>
      <c r="Z6" s="18">
        <f t="shared" si="2"/>
        <v>13.666777682301698</v>
      </c>
      <c r="AB6" s="17">
        <v>1822.4459999999999</v>
      </c>
      <c r="AC6" s="5">
        <v>0</v>
      </c>
      <c r="AD6" s="29">
        <v>0</v>
      </c>
      <c r="AE6" s="8"/>
      <c r="AF6" s="30">
        <v>1735.9275600000001</v>
      </c>
      <c r="AG6" s="30">
        <v>0</v>
      </c>
      <c r="AH6" s="30">
        <v>0</v>
      </c>
      <c r="AI6" s="19">
        <v>0</v>
      </c>
      <c r="AJ6" s="19">
        <f>Y6-AB6+AD6+AF6+AI6+AH6+IF(AG6&lt;0,AG6,0)</f>
        <v>4064.64228</v>
      </c>
      <c r="AK6" s="18">
        <f t="shared" si="3"/>
        <v>12.15117899230507</v>
      </c>
      <c r="AM6" s="17">
        <v>2007.0360000000001</v>
      </c>
      <c r="AN6" s="5"/>
      <c r="AO6" s="29">
        <v>0</v>
      </c>
      <c r="AP6" s="8"/>
      <c r="AQ6" s="30">
        <v>1695.4333200000005</v>
      </c>
      <c r="AR6" s="30">
        <v>0</v>
      </c>
      <c r="AS6" s="30">
        <v>0</v>
      </c>
      <c r="AT6" s="19">
        <f>IF(K6&gt;0,K6,0)</f>
        <v>0</v>
      </c>
      <c r="AU6" s="19">
        <f>AJ6-AM6+AO6+AQ6+AT6+AS6+IF(AR6&lt;0,AR6,0)</f>
        <v>3753.0396000000005</v>
      </c>
      <c r="AV6" s="18">
        <f t="shared" si="4"/>
        <v>11.219648078061381</v>
      </c>
    </row>
    <row r="7" spans="1:48" ht="14.5" customHeight="1">
      <c r="A7">
        <v>70934</v>
      </c>
      <c r="B7" s="53"/>
      <c r="C7" s="16" t="s">
        <v>56</v>
      </c>
      <c r="D7" s="17">
        <v>2066.364</v>
      </c>
      <c r="E7" s="5"/>
      <c r="F7" s="29">
        <v>0</v>
      </c>
      <c r="G7" s="5"/>
      <c r="H7" s="17">
        <v>5463.7020000000011</v>
      </c>
      <c r="I7" s="18">
        <f t="shared" si="0"/>
        <v>15.864684053729162</v>
      </c>
      <c r="J7" s="30">
        <v>915.14195999999959</v>
      </c>
      <c r="K7" s="30">
        <v>0</v>
      </c>
      <c r="L7" s="30">
        <v>0</v>
      </c>
      <c r="M7" s="19">
        <v>0</v>
      </c>
      <c r="N7" s="19">
        <f>H7+F7-D7+L7+M7+J7+IF(K7&lt;0,K7,0)</f>
        <v>4312.4799600000006</v>
      </c>
      <c r="O7" s="18">
        <f t="shared" si="1"/>
        <v>11.976416306331078</v>
      </c>
      <c r="Q7" s="17">
        <v>2160.4859999999999</v>
      </c>
      <c r="R7" s="15"/>
      <c r="S7" s="29">
        <v>0</v>
      </c>
      <c r="T7" s="5"/>
      <c r="U7" s="30">
        <v>2893.8999600000002</v>
      </c>
      <c r="V7" s="30">
        <v>0</v>
      </c>
      <c r="W7" s="30">
        <v>0</v>
      </c>
      <c r="X7" s="19">
        <v>0</v>
      </c>
      <c r="Y7" s="19">
        <f>N7-Q7+S7+U7+X7+W7+IF(V7&lt;0,V7,0)</f>
        <v>5045.8939200000004</v>
      </c>
      <c r="Z7" s="18">
        <f t="shared" si="2"/>
        <v>19.356956221516363</v>
      </c>
      <c r="AB7" s="17">
        <v>1564.0560000000003</v>
      </c>
      <c r="AC7" s="5">
        <v>0</v>
      </c>
      <c r="AD7" s="29">
        <v>0</v>
      </c>
      <c r="AE7" s="8"/>
      <c r="AF7" s="30">
        <v>376.3295999999994</v>
      </c>
      <c r="AG7" s="30">
        <v>0</v>
      </c>
      <c r="AH7" s="30">
        <v>0</v>
      </c>
      <c r="AI7" s="19">
        <v>0</v>
      </c>
      <c r="AJ7" s="19">
        <f>Y7-AB7+AD7+AF7+AI7+AH7+IF(AG7&lt;0,AG7,0)</f>
        <v>3858.1675199999995</v>
      </c>
      <c r="AK7" s="18">
        <f t="shared" si="3"/>
        <v>13.378716073527725</v>
      </c>
      <c r="AM7" s="17">
        <v>1730.2860000000001</v>
      </c>
      <c r="AN7" s="5"/>
      <c r="AO7" s="29">
        <v>0</v>
      </c>
      <c r="AP7" s="8"/>
      <c r="AQ7" s="30">
        <v>5200.7891400000035</v>
      </c>
      <c r="AR7" s="30">
        <v>0</v>
      </c>
      <c r="AS7" s="30">
        <v>0</v>
      </c>
      <c r="AT7" s="19">
        <f>IF(K7&gt;0,K7,0)</f>
        <v>0</v>
      </c>
      <c r="AU7" s="19">
        <f>AJ7-AM7+AO7+AQ7+AT7+AS7+IF(AR7&lt;0,AR7,0)</f>
        <v>7328.6706600000034</v>
      </c>
      <c r="AV7" s="18">
        <f t="shared" si="4"/>
        <v>25.413153640496436</v>
      </c>
    </row>
    <row r="8" spans="1:48" ht="14.5" customHeight="1">
      <c r="A8">
        <v>70934</v>
      </c>
      <c r="B8" s="53"/>
      <c r="C8" s="16" t="s">
        <v>57</v>
      </c>
      <c r="D8" s="17">
        <v>114.17400000000001</v>
      </c>
      <c r="E8" s="5"/>
      <c r="F8" s="29">
        <v>0</v>
      </c>
      <c r="G8" s="5"/>
      <c r="H8" s="17">
        <v>0</v>
      </c>
      <c r="I8" s="18">
        <f t="shared" si="0"/>
        <v>0</v>
      </c>
      <c r="J8" s="30">
        <v>114.18156</v>
      </c>
      <c r="K8" s="30">
        <v>0</v>
      </c>
      <c r="L8" s="30">
        <v>0</v>
      </c>
      <c r="M8" s="19">
        <v>0</v>
      </c>
      <c r="N8" s="19">
        <f>H8+F8-D8+L8+M8+J8+IF(K8&lt;0,K8,0)</f>
        <v>0.0075599999999980128</v>
      </c>
      <c r="O8" s="18">
        <f t="shared" si="1"/>
        <v>0.00033364226135301696</v>
      </c>
      <c r="Q8" s="17">
        <v>135.95400000000001</v>
      </c>
      <c r="R8" s="15"/>
      <c r="S8" s="29">
        <v>0</v>
      </c>
      <c r="T8" s="5"/>
      <c r="U8" s="30">
        <v>135.95562000000001</v>
      </c>
      <c r="V8" s="30">
        <v>0</v>
      </c>
      <c r="W8" s="30">
        <v>0</v>
      </c>
      <c r="X8" s="19">
        <v>0</v>
      </c>
      <c r="Y8" s="19">
        <f>N8-Q8+S8+U8+X8+W8+IF(V8&lt;0,V8,0)</f>
        <v>0.009180000000014843</v>
      </c>
      <c r="Z8" s="18">
        <f t="shared" si="2"/>
        <v>0.0005980066445192393</v>
      </c>
      <c r="AB8" s="17">
        <v>92.106000000000009</v>
      </c>
      <c r="AC8" s="5">
        <v>0</v>
      </c>
      <c r="AD8" s="29">
        <v>0</v>
      </c>
      <c r="AE8" s="8"/>
      <c r="AF8" s="30">
        <v>92.098979999999997</v>
      </c>
      <c r="AG8" s="30">
        <v>0</v>
      </c>
      <c r="AH8" s="30">
        <v>0</v>
      </c>
      <c r="AI8" s="19">
        <v>0</v>
      </c>
      <c r="AJ8" s="19">
        <f>Y8-AB8+AD8+AF8+AI8+AH8+IF(AG8&lt;0,AG8,0)</f>
        <v>0.0021600000000034925</v>
      </c>
      <c r="AK8" s="18">
        <f t="shared" si="3"/>
        <v>0.0001343033016230487</v>
      </c>
      <c r="AM8" s="17">
        <v>96.498000000000005</v>
      </c>
      <c r="AN8" s="5"/>
      <c r="AO8" s="29">
        <v>0</v>
      </c>
      <c r="AP8" s="8"/>
      <c r="AQ8" s="30">
        <v>96.484680000000012</v>
      </c>
      <c r="AR8" s="30">
        <v>0</v>
      </c>
      <c r="AS8" s="30">
        <v>0</v>
      </c>
      <c r="AT8" s="19">
        <f>IF(K8&gt;0,K8,0)</f>
        <v>0</v>
      </c>
      <c r="AU8" s="19">
        <f>AJ8-AM8+AO8+AQ8+AT8+AS8+IF(AR8&lt;0,AR8,0)</f>
        <v>-0.011159999999989623</v>
      </c>
      <c r="AV8" s="18">
        <f t="shared" si="4"/>
        <v>-0.00069390039171731777</v>
      </c>
    </row>
    <row r="9" spans="1:48" ht="14.5" customHeight="1">
      <c r="A9">
        <v>70934</v>
      </c>
      <c r="B9" s="53"/>
      <c r="C9" s="16" t="s">
        <v>58</v>
      </c>
      <c r="D9" s="17">
        <v>1270.6560000000002</v>
      </c>
      <c r="E9" s="5"/>
      <c r="F9" s="29">
        <v>12240</v>
      </c>
      <c r="G9" s="5"/>
      <c r="H9" s="17">
        <v>4734.4740000000002</v>
      </c>
      <c r="I9" s="18">
        <f t="shared" si="0"/>
        <v>22.356046010879417</v>
      </c>
      <c r="J9" s="30">
        <f>-8583.68736+3355</f>
        <v>-5228.6873599999999</v>
      </c>
      <c r="K9" s="30">
        <v>-3355</v>
      </c>
      <c r="L9" s="30">
        <v>0</v>
      </c>
      <c r="M9" s="19">
        <v>0</v>
      </c>
      <c r="N9" s="19">
        <f>H9+F9-D9+L9+M9+J9+IF(K9&lt;0,K9,0)</f>
        <v>7120.1306400000012</v>
      </c>
      <c r="O9" s="18">
        <f>N9/(Q9/6)</f>
        <v>27.681738319065065</v>
      </c>
      <c r="Q9" s="17">
        <v>1543.2839999999999</v>
      </c>
      <c r="R9" s="15"/>
      <c r="S9" s="29">
        <v>1800</v>
      </c>
      <c r="T9" s="5"/>
      <c r="U9" s="30">
        <f>-7562.86434+515</f>
        <v>-7047.8643400000001</v>
      </c>
      <c r="V9" s="30">
        <v>-515</v>
      </c>
      <c r="W9" s="30">
        <v>0</v>
      </c>
      <c r="X9" s="19">
        <v>0</v>
      </c>
      <c r="Y9" s="19">
        <f>N9-Q9+S9+U9+X9+W9+IF(V9&lt;0,V9,0)</f>
        <v>-186.01769999999851</v>
      </c>
      <c r="Z9" s="18">
        <f t="shared" si="2"/>
        <v>-0.96036397428946796</v>
      </c>
      <c r="AB9" s="17">
        <v>1162.17</v>
      </c>
      <c r="AC9" s="5">
        <v>0</v>
      </c>
      <c r="AD9" s="29">
        <v>5040</v>
      </c>
      <c r="AE9" s="8"/>
      <c r="AF9" s="30">
        <f>-3965.65812+35</f>
        <v>-3930.6581200000001</v>
      </c>
      <c r="AG9" s="30">
        <v>-35</v>
      </c>
      <c r="AH9" s="30">
        <v>0</v>
      </c>
      <c r="AI9" s="19">
        <v>0</v>
      </c>
      <c r="AJ9" s="19">
        <f>Y9-AB9+AD9+AF9+AI9+AH9+IF(AG9&lt;0,AG9,0)</f>
        <v>-273.84581999999864</v>
      </c>
      <c r="AK9" s="18">
        <f t="shared" si="3"/>
        <v>-1.2727720687683812</v>
      </c>
      <c r="AM9" s="17">
        <v>1290.9420000000002</v>
      </c>
      <c r="AN9" s="5"/>
      <c r="AO9" s="29">
        <v>12600</v>
      </c>
      <c r="AP9" s="8"/>
      <c r="AQ9" s="30">
        <f>-11378.65986+1088</f>
        <v>-10290.65986</v>
      </c>
      <c r="AR9" s="30">
        <v>-1088</v>
      </c>
      <c r="AS9" s="30">
        <v>0</v>
      </c>
      <c r="AT9" s="19">
        <f>IF(K9&gt;0,K9,0)</f>
        <v>0</v>
      </c>
      <c r="AU9" s="19">
        <f>AJ9-AM9+AO9+AQ9+AT9+AS9+IF(AR9&lt;0,AR9,0)</f>
        <v>-343.44767999999931</v>
      </c>
      <c r="AV9" s="18">
        <f t="shared" si="4"/>
        <v>-1.5962654247828294</v>
      </c>
    </row>
    <row r="10" spans="2:48" ht="14.5" customHeight="1">
      <c r="B10" s="53"/>
      <c r="C10" s="23" t="s">
        <v>22</v>
      </c>
      <c r="D10" s="24">
        <f>(SUM(D5:D9))</f>
        <v>8419.2839999999997</v>
      </c>
      <c r="E10" s="5"/>
      <c r="F10" s="24">
        <f>(SUM(F5:F9))</f>
        <v>12240</v>
      </c>
      <c r="G10" s="5"/>
      <c r="H10" s="24">
        <f>(SUM(H5:H9))</f>
        <v>19723.596000000001</v>
      </c>
      <c r="I10" s="25">
        <f t="shared" si="0"/>
        <v>14.056014264395881</v>
      </c>
      <c r="J10" s="24">
        <f>(SUM(J5:J9))</f>
        <v>-0.34813999999823864</v>
      </c>
      <c r="K10" s="24">
        <f>(SUM(K5:K9))</f>
        <v>-3355</v>
      </c>
      <c r="L10" s="24">
        <f>(SUM(L5:L9))</f>
        <v>0</v>
      </c>
      <c r="M10" s="24">
        <f>(SUM(M5:M9))</f>
        <v>0</v>
      </c>
      <c r="N10" s="24">
        <f>H10+F10-D10+L10+M10+J10+IF(K10&lt;0,K10,0)</f>
        <v>20188.963860000003</v>
      </c>
      <c r="O10" s="25">
        <f>N10/(Q10/6)</f>
        <v>13.097631250644699</v>
      </c>
      <c r="Q10" s="24">
        <f>(SUM(Q5:Q9))</f>
        <v>9248.5259999999998</v>
      </c>
      <c r="R10" s="15"/>
      <c r="S10" s="24">
        <f>(SUM(S5:S9))</f>
        <v>1800</v>
      </c>
      <c r="T10" s="5"/>
      <c r="U10" s="24">
        <f>(SUM(U5:U9))</f>
        <v>0.20162000000073022</v>
      </c>
      <c r="V10" s="24">
        <f>(SUM(V5:V9))</f>
        <v>-515</v>
      </c>
      <c r="W10" s="24">
        <f>(SUM(W5:W9))</f>
        <v>0</v>
      </c>
      <c r="X10" s="24">
        <f>(SUM(X5:X9))</f>
        <v>0</v>
      </c>
      <c r="Y10" s="24">
        <f>N10-Q10+S10+U10+X10+W10+IF(V10&lt;0,V10,0)</f>
        <v>12225.639480000005</v>
      </c>
      <c r="Z10" s="25">
        <f t="shared" si="2"/>
        <v>10.782755795924203</v>
      </c>
      <c r="AB10" s="24">
        <f>(SUM(AB5:AB9))</f>
        <v>6802.884</v>
      </c>
      <c r="AC10" s="5">
        <v>0</v>
      </c>
      <c r="AD10" s="24">
        <f>(SUM(AD5:AD9))</f>
        <v>5040</v>
      </c>
      <c r="AE10" s="8"/>
      <c r="AF10" s="24">
        <f>(SUM(AF5:AF9))</f>
        <v>0.071719999999913853</v>
      </c>
      <c r="AG10" s="24">
        <f>(SUM(AG5:AG9))</f>
        <v>-35</v>
      </c>
      <c r="AH10" s="24">
        <f>(SUM(AH5:AH9))</f>
        <v>0</v>
      </c>
      <c r="AI10" s="24">
        <f>(SUM(AI5:AI9))</f>
        <v>0</v>
      </c>
      <c r="AJ10" s="24">
        <f>Y10-AB10+AD10+AF10+AI10+AH10+IF(AG10&lt;0,AG10,0)</f>
        <v>10427.827200000005</v>
      </c>
      <c r="AK10" s="25">
        <f t="shared" si="3"/>
        <v>8.3908683823653725</v>
      </c>
      <c r="AM10" s="24">
        <f>(SUM(AM5:AM9))</f>
        <v>7456.5539999999992</v>
      </c>
      <c r="AN10" s="5"/>
      <c r="AO10" s="24">
        <f>(SUM(AO5:AO9))</f>
        <v>12600</v>
      </c>
      <c r="AP10" s="8"/>
      <c r="AQ10" s="24">
        <f>(SUM(AQ5:AQ9))</f>
        <v>0.13382000000456173</v>
      </c>
      <c r="AR10" s="24">
        <f>(SUM(AR5:AR9))</f>
        <v>-1088</v>
      </c>
      <c r="AS10" s="24">
        <f>(SUM(AS5:AS9))</f>
        <v>0</v>
      </c>
      <c r="AT10" s="24">
        <f>IF(K10&gt;0,K10,0)</f>
        <v>0</v>
      </c>
      <c r="AU10" s="24">
        <f>AJ10-AM10+AO10+AQ10+AT10+AS10+IF(AR10&lt;0,AR10,0)</f>
        <v>14483.407020000011</v>
      </c>
      <c r="AV10" s="25">
        <f t="shared" si="4"/>
        <v>11.65423627589904</v>
      </c>
    </row>
    <row r="11" spans="2:20" ht="14.5">
      <c r="B11" s="103"/>
      <c r="E11" s="5"/>
      <c r="G11" s="5"/>
      <c r="T11" s="5"/>
    </row>
    <row r="12" spans="2:48" ht="29">
      <c r="B12" s="49"/>
      <c r="C12" s="11" t="s">
        <v>6</v>
      </c>
      <c r="D12" s="12" t="s">
        <v>2</v>
      </c>
      <c r="E12" s="5"/>
      <c r="F12" s="12" t="s">
        <v>8</v>
      </c>
      <c r="G12" s="5"/>
      <c r="H12" s="13" t="s">
        <v>51</v>
      </c>
      <c r="I12" s="14" t="s">
        <v>10</v>
      </c>
      <c r="J12" s="13" t="s">
        <v>90</v>
      </c>
      <c r="K12" s="13" t="s">
        <v>91</v>
      </c>
      <c r="L12" s="13" t="s">
        <v>92</v>
      </c>
      <c r="M12" s="13" t="s">
        <v>86</v>
      </c>
      <c r="N12" s="13" t="s">
        <v>52</v>
      </c>
      <c r="O12" s="14" t="s">
        <v>13</v>
      </c>
      <c r="Q12" s="12" t="s">
        <v>2</v>
      </c>
      <c r="R12" s="15"/>
      <c r="S12" s="12" t="s">
        <v>8</v>
      </c>
      <c r="T12" s="5"/>
      <c r="U12" s="13" t="s">
        <v>90</v>
      </c>
      <c r="V12" s="13" t="s">
        <v>91</v>
      </c>
      <c r="W12" s="13" t="s">
        <v>92</v>
      </c>
      <c r="X12" s="13" t="s">
        <v>86</v>
      </c>
      <c r="Y12" s="13" t="s">
        <v>52</v>
      </c>
      <c r="Z12" s="14" t="s">
        <v>13</v>
      </c>
      <c r="AB12" s="13" t="s">
        <v>2</v>
      </c>
      <c r="AC12" s="5">
        <v>0</v>
      </c>
      <c r="AD12" s="12" t="s">
        <v>53</v>
      </c>
      <c r="AE12" s="8"/>
      <c r="AF12" s="13" t="s">
        <v>90</v>
      </c>
      <c r="AG12" s="13" t="s">
        <v>91</v>
      </c>
      <c r="AH12" s="13" t="s">
        <v>92</v>
      </c>
      <c r="AI12" s="13" t="s">
        <v>86</v>
      </c>
      <c r="AJ12" s="13" t="s">
        <v>52</v>
      </c>
      <c r="AK12" s="14" t="s">
        <v>13</v>
      </c>
      <c r="AM12" s="13" t="s">
        <v>2</v>
      </c>
      <c r="AN12" s="5"/>
      <c r="AO12" s="12" t="s">
        <v>53</v>
      </c>
      <c r="AP12" s="8"/>
      <c r="AQ12" s="13" t="s">
        <v>90</v>
      </c>
      <c r="AR12" s="13" t="s">
        <v>91</v>
      </c>
      <c r="AS12" s="13" t="s">
        <v>92</v>
      </c>
      <c r="AT12" s="13" t="s">
        <v>86</v>
      </c>
      <c r="AU12" s="13" t="s">
        <v>52</v>
      </c>
      <c r="AV12" s="14" t="s">
        <v>13</v>
      </c>
    </row>
    <row r="13" spans="1:48" ht="14.5" customHeight="1">
      <c r="A13">
        <v>65758</v>
      </c>
      <c r="B13" s="47" t="s">
        <v>74</v>
      </c>
      <c r="C13" s="16" t="s">
        <v>54</v>
      </c>
      <c r="D13" s="17">
        <v>4732.5419999999995</v>
      </c>
      <c r="E13" s="5"/>
      <c r="F13" s="29">
        <v>0</v>
      </c>
      <c r="G13" s="5"/>
      <c r="H13" s="17">
        <v>5705.5860000000011</v>
      </c>
      <c r="I13" s="18">
        <f t="shared" si="5" ref="I13:I18">H13/(D13/6)</f>
        <v>7.233642300480378</v>
      </c>
      <c r="J13" s="30">
        <v>4246.0586999999996</v>
      </c>
      <c r="K13" s="30">
        <v>0</v>
      </c>
      <c r="L13" s="30">
        <v>0</v>
      </c>
      <c r="M13" s="19">
        <v>0</v>
      </c>
      <c r="N13" s="19">
        <f>H13+F13-D13+L13+M13+J13+IF(K13&lt;0,K13,0)</f>
        <v>5219.1027000000013</v>
      </c>
      <c r="O13" s="18">
        <f t="shared" si="6" ref="O13:O18">N13/(Q13/6)</f>
        <v>5.8634817543587658</v>
      </c>
      <c r="Q13" s="17">
        <v>5340.6180000000013</v>
      </c>
      <c r="R13" s="15"/>
      <c r="S13" s="29">
        <v>0</v>
      </c>
      <c r="T13" s="5"/>
      <c r="U13" s="30">
        <v>5220.6217199999992</v>
      </c>
      <c r="V13" s="30">
        <v>0</v>
      </c>
      <c r="W13" s="30">
        <v>0</v>
      </c>
      <c r="X13" s="19">
        <v>0</v>
      </c>
      <c r="Y13" s="19">
        <f>N13-Q13+S13+U13+X13+W13+IF(V13&lt;0,V13,0)</f>
        <v>5099.1064199999992</v>
      </c>
      <c r="Z13" s="18">
        <f t="shared" si="7" ref="Z13:Z18">Y13/(AB13/6)</f>
        <v>7.9690845668043515</v>
      </c>
      <c r="AB13" s="17">
        <v>3839.1659999999997</v>
      </c>
      <c r="AC13" s="5">
        <v>0</v>
      </c>
      <c r="AD13" s="29">
        <v>0</v>
      </c>
      <c r="AE13" s="8"/>
      <c r="AF13" s="30">
        <v>1491.7364999999995</v>
      </c>
      <c r="AG13" s="30">
        <v>0</v>
      </c>
      <c r="AH13" s="30">
        <v>0</v>
      </c>
      <c r="AI13" s="19">
        <v>0</v>
      </c>
      <c r="AJ13" s="19">
        <f>Y13-AB13+AD13+AF13+AI13+AH13+IF(AG13&lt;0,AG13,0)</f>
        <v>2751.676919999999</v>
      </c>
      <c r="AK13" s="18">
        <f t="shared" si="8" ref="AK13:AK18">AJ13/(AM13/6)</f>
        <v>3.792868679934994</v>
      </c>
      <c r="AM13" s="17">
        <v>4352.9219999999996</v>
      </c>
      <c r="AN13" s="5"/>
      <c r="AO13" s="29">
        <v>0</v>
      </c>
      <c r="AP13" s="8"/>
      <c r="AQ13" s="30">
        <v>4386.882599999999</v>
      </c>
      <c r="AR13" s="30">
        <v>0</v>
      </c>
      <c r="AS13" s="30">
        <v>0</v>
      </c>
      <c r="AT13" s="19">
        <f>IF(K13&gt;0,K13,0)</f>
        <v>0</v>
      </c>
      <c r="AU13" s="19">
        <f>AJ13-AM13+AO13+AQ13+AT13+AS13+IF(AR13&lt;0,AR13,0)</f>
        <v>2785.6375199999984</v>
      </c>
      <c r="AV13" s="18">
        <f t="shared" si="9" ref="AV13:AV18">AU13/(AM13/6)</f>
        <v>3.8396794429121384</v>
      </c>
    </row>
    <row r="14" spans="1:48" ht="14.5" customHeight="1">
      <c r="A14">
        <v>65758</v>
      </c>
      <c r="B14" s="53"/>
      <c r="C14" s="16" t="s">
        <v>55</v>
      </c>
      <c r="D14" s="17">
        <v>3887.4599999999996</v>
      </c>
      <c r="E14" s="5"/>
      <c r="F14" s="29">
        <v>5400</v>
      </c>
      <c r="G14" s="5"/>
      <c r="H14" s="17">
        <v>12370.841999999999</v>
      </c>
      <c r="I14" s="18">
        <f t="shared" si="5"/>
        <v>19.09345742464231</v>
      </c>
      <c r="J14" s="30">
        <f>-5588.87958+2083</f>
        <v>-3505.8795799999998</v>
      </c>
      <c r="K14" s="30">
        <v>2083</v>
      </c>
      <c r="L14" s="30">
        <v>0</v>
      </c>
      <c r="M14" s="19">
        <v>2000</v>
      </c>
      <c r="N14" s="19">
        <f>H14+F14-D14+L14+M14+J14+IF(K14&lt;0,K14,0)</f>
        <v>12377.502419999997</v>
      </c>
      <c r="O14" s="18">
        <f t="shared" si="6"/>
        <v>19.360932797124363</v>
      </c>
      <c r="Q14" s="17">
        <v>3835.8179999999998</v>
      </c>
      <c r="R14" s="15"/>
      <c r="S14" s="29">
        <v>14400</v>
      </c>
      <c r="T14" s="5"/>
      <c r="U14" s="30">
        <f>-8283.71592-2830</f>
        <v>-11113.715920000001</v>
      </c>
      <c r="V14" s="30">
        <v>2830</v>
      </c>
      <c r="W14" s="30">
        <v>0</v>
      </c>
      <c r="X14" s="19">
        <v>0</v>
      </c>
      <c r="Y14" s="19">
        <f>N14-Q14+S14+U14+X14+W14+IF(V14&lt;0,V14,0)</f>
        <v>11827.968499999997</v>
      </c>
      <c r="Z14" s="18">
        <f t="shared" si="7"/>
        <v>23.736784487966009</v>
      </c>
      <c r="AB14" s="17">
        <v>2989.7819999999997</v>
      </c>
      <c r="AC14" s="5">
        <v>0</v>
      </c>
      <c r="AD14" s="29">
        <v>0</v>
      </c>
      <c r="AE14" s="8"/>
      <c r="AF14" s="30">
        <f>493.9101-2762</f>
        <v>-2268.0898999999999</v>
      </c>
      <c r="AG14" s="30">
        <v>2762</v>
      </c>
      <c r="AH14" s="30">
        <v>0</v>
      </c>
      <c r="AI14" s="19">
        <v>0</v>
      </c>
      <c r="AJ14" s="19">
        <f>Y14-AB14+AD14+AF14+AI14+AH14+IF(AG14&lt;0,AG14,0)</f>
        <v>6570.096599999998</v>
      </c>
      <c r="AK14" s="18">
        <f t="shared" si="8"/>
        <v>11.942720500823434</v>
      </c>
      <c r="AM14" s="17">
        <v>3300.8039999999996</v>
      </c>
      <c r="AN14" s="5"/>
      <c r="AO14" s="29">
        <v>12600</v>
      </c>
      <c r="AP14" s="8"/>
      <c r="AQ14" s="30">
        <f>-6853.25034-2770</f>
        <v>-9623.2503399999987</v>
      </c>
      <c r="AR14" s="30">
        <v>2770</v>
      </c>
      <c r="AS14" s="30">
        <v>0</v>
      </c>
      <c r="AT14" s="19">
        <f>IF(K14&gt;0,K14,0)</f>
        <v>2083</v>
      </c>
      <c r="AU14" s="19">
        <f>AJ14-AM14+AO14+AQ14+AT14+AS14+IF(AR14&lt;0,AR14,0)</f>
        <v>8329.0422600000002</v>
      </c>
      <c r="AV14" s="18">
        <f t="shared" si="9"/>
        <v>15.14002453947584</v>
      </c>
    </row>
    <row r="15" spans="1:48" ht="14.5" customHeight="1">
      <c r="A15">
        <v>65758</v>
      </c>
      <c r="B15" s="53"/>
      <c r="C15" s="16" t="s">
        <v>56</v>
      </c>
      <c r="D15" s="17">
        <v>3197.2140000000009</v>
      </c>
      <c r="E15" s="5"/>
      <c r="F15" s="29">
        <v>0</v>
      </c>
      <c r="G15" s="5"/>
      <c r="H15" s="17">
        <v>6338.0039999999999</v>
      </c>
      <c r="I15" s="18">
        <f t="shared" si="5"/>
        <v>11.894112811966915</v>
      </c>
      <c r="J15" s="30">
        <v>-4166</v>
      </c>
      <c r="K15" s="30">
        <v>13243</v>
      </c>
      <c r="L15" s="30">
        <v>0</v>
      </c>
      <c r="M15" s="19">
        <v>2500</v>
      </c>
      <c r="N15" s="19">
        <f>H15+F15-D15+L15+M15+J15+IF(K15&lt;0,K15,0)</f>
        <v>1474.7899999999991</v>
      </c>
      <c r="O15" s="18">
        <f t="shared" si="6"/>
        <v>2.8184488488580297</v>
      </c>
      <c r="Q15" s="17">
        <v>3139.5779999999995</v>
      </c>
      <c r="R15" s="15"/>
      <c r="S15" s="29">
        <v>0</v>
      </c>
      <c r="T15" s="5"/>
      <c r="U15" s="30">
        <f>12834.4212-10000</f>
        <v>2834.4212000000007</v>
      </c>
      <c r="V15" s="30">
        <v>10000</v>
      </c>
      <c r="W15" s="30">
        <v>0</v>
      </c>
      <c r="X15" s="19">
        <v>0</v>
      </c>
      <c r="Y15" s="19">
        <f>N15-Q15+S15+U15+X15+W15+IF(V15&lt;0,V15,0)</f>
        <v>1169.6332000000002</v>
      </c>
      <c r="Z15" s="18">
        <f t="shared" si="7"/>
        <v>2.9412081846551561</v>
      </c>
      <c r="AB15" s="17">
        <v>2386.0259999999994</v>
      </c>
      <c r="AC15" s="5">
        <v>0</v>
      </c>
      <c r="AD15" s="29">
        <v>0</v>
      </c>
      <c r="AE15" s="8"/>
      <c r="AF15" s="30">
        <f>9231.91866-10000</f>
        <v>-768.08134000000064</v>
      </c>
      <c r="AG15" s="30">
        <v>10000</v>
      </c>
      <c r="AH15" s="30">
        <v>0</v>
      </c>
      <c r="AI15" s="19">
        <v>0</v>
      </c>
      <c r="AJ15" s="19">
        <f>Y15-AB15+AD15+AF15+AI15+AH15+IF(AG15&lt;0,AG15,0)</f>
        <v>-1984.4741399999998</v>
      </c>
      <c r="AK15" s="18">
        <f t="shared" si="8"/>
        <v>-4.4389436317272848</v>
      </c>
      <c r="AM15" s="17">
        <v>2682.3599999999997</v>
      </c>
      <c r="AN15" s="5"/>
      <c r="AO15" s="29">
        <v>0</v>
      </c>
      <c r="AP15" s="8"/>
      <c r="AQ15" s="30">
        <f>12719.30652-10000</f>
        <v>2719.3065200000001</v>
      </c>
      <c r="AR15" s="30">
        <v>10000</v>
      </c>
      <c r="AS15" s="30">
        <v>0</v>
      </c>
      <c r="AT15" s="19">
        <f>IF(K15&gt;0,K15,0)</f>
        <v>13243</v>
      </c>
      <c r="AU15" s="19">
        <f>AJ15-AM15+AO15+AQ15+AT15+AS15+IF(AR15&lt;0,AR15,0)</f>
        <v>11295.472380000001</v>
      </c>
      <c r="AV15" s="18">
        <f t="shared" si="9"/>
        <v>25.266121728627034</v>
      </c>
    </row>
    <row r="16" spans="1:48" ht="14.5" customHeight="1">
      <c r="A16">
        <v>65758</v>
      </c>
      <c r="B16" s="53"/>
      <c r="C16" s="16" t="s">
        <v>57</v>
      </c>
      <c r="D16" s="17">
        <v>157.21200000000002</v>
      </c>
      <c r="E16" s="5"/>
      <c r="F16" s="29">
        <v>0</v>
      </c>
      <c r="G16" s="5"/>
      <c r="H16" s="17">
        <v>0</v>
      </c>
      <c r="I16" s="18">
        <f t="shared" si="5"/>
        <v>0</v>
      </c>
      <c r="J16" s="30">
        <v>0</v>
      </c>
      <c r="K16" s="30">
        <v>0</v>
      </c>
      <c r="L16" s="30">
        <v>0</v>
      </c>
      <c r="M16" s="19">
        <v>0</v>
      </c>
      <c r="N16" s="19">
        <f>H16+F16-D16+L16+M16+J16+IF(K16&lt;0,K16,0)</f>
        <v>-157.21200000000002</v>
      </c>
      <c r="O16" s="18">
        <f t="shared" si="6"/>
        <v>-4.8648347567768289</v>
      </c>
      <c r="Q16" s="17">
        <v>193.89600000000002</v>
      </c>
      <c r="R16" s="15"/>
      <c r="S16" s="29">
        <v>0</v>
      </c>
      <c r="T16" s="5"/>
      <c r="U16" s="30">
        <v>193.90266000000003</v>
      </c>
      <c r="V16" s="30">
        <v>0</v>
      </c>
      <c r="W16" s="30">
        <v>0</v>
      </c>
      <c r="X16" s="19">
        <v>0</v>
      </c>
      <c r="Y16" s="19">
        <f>N16-Q16+S16+U16+X16+W16+IF(V16&lt;0,V16,0)</f>
        <v>-157.20534000000004</v>
      </c>
      <c r="Z16" s="18">
        <f t="shared" si="7"/>
        <v>-6.876874015748033</v>
      </c>
      <c r="AB16" s="17">
        <v>137.16</v>
      </c>
      <c r="AC16" s="5">
        <v>0</v>
      </c>
      <c r="AD16" s="29">
        <v>0</v>
      </c>
      <c r="AE16" s="8"/>
      <c r="AF16" s="30">
        <v>137.15766000000002</v>
      </c>
      <c r="AG16" s="30">
        <v>0</v>
      </c>
      <c r="AH16" s="30">
        <v>0</v>
      </c>
      <c r="AI16" s="19">
        <v>0</v>
      </c>
      <c r="AJ16" s="19">
        <f>Y16-AB16+AD16+AF16+AI16+AH16+IF(AG16&lt;0,AG16,0)</f>
        <v>-157.20768000000004</v>
      </c>
      <c r="AK16" s="18">
        <f t="shared" si="8"/>
        <v>-6.4814545454545476</v>
      </c>
      <c r="AM16" s="17">
        <v>145.53</v>
      </c>
      <c r="AN16" s="5"/>
      <c r="AO16" s="29">
        <v>0</v>
      </c>
      <c r="AP16" s="8"/>
      <c r="AQ16" s="30">
        <v>145.53773999999999</v>
      </c>
      <c r="AR16" s="30">
        <v>0</v>
      </c>
      <c r="AS16" s="30">
        <v>0</v>
      </c>
      <c r="AT16" s="19">
        <f>IF(K16&gt;0,K16,0)</f>
        <v>0</v>
      </c>
      <c r="AU16" s="19">
        <f>AJ16-AM16+AO16+AQ16+AT16+AS16+IF(AR16&lt;0,AR16,0)</f>
        <v>-157.19994000000008</v>
      </c>
      <c r="AV16" s="18">
        <f t="shared" si="9"/>
        <v>-6.4811354359925826</v>
      </c>
    </row>
    <row r="17" spans="1:48" ht="14.5" customHeight="1">
      <c r="A17">
        <v>65758</v>
      </c>
      <c r="B17" s="53"/>
      <c r="C17" s="16" t="s">
        <v>58</v>
      </c>
      <c r="D17" s="17">
        <v>2867.5079999999998</v>
      </c>
      <c r="E17" s="5"/>
      <c r="F17" s="29">
        <v>0</v>
      </c>
      <c r="G17" s="5"/>
      <c r="H17" s="17">
        <v>3187.4760000000001</v>
      </c>
      <c r="I17" s="18">
        <f t="shared" si="5"/>
        <v>6.6695039734849919</v>
      </c>
      <c r="J17" s="30">
        <v>3426.2458200000001</v>
      </c>
      <c r="K17" s="30">
        <v>0</v>
      </c>
      <c r="L17" s="30">
        <v>0</v>
      </c>
      <c r="M17" s="19">
        <v>0</v>
      </c>
      <c r="N17" s="19">
        <f>H17+F17-D17+L17+M17+J17+IF(K17&lt;0,K17,0)</f>
        <v>3746.2138200000004</v>
      </c>
      <c r="O17" s="18">
        <f t="shared" si="6"/>
        <v>7.570448684138734</v>
      </c>
      <c r="Q17" s="17">
        <v>2969.0820000000003</v>
      </c>
      <c r="R17" s="15"/>
      <c r="S17" s="29">
        <v>0</v>
      </c>
      <c r="T17" s="5"/>
      <c r="U17" s="30">
        <v>2864.7144000000003</v>
      </c>
      <c r="V17" s="30">
        <v>0</v>
      </c>
      <c r="W17" s="30">
        <v>0</v>
      </c>
      <c r="X17" s="19">
        <v>0</v>
      </c>
      <c r="Y17" s="19">
        <f>N17-Q17+S17+U17+X17+W17+IF(V17&lt;0,V17,0)</f>
        <v>3641.8462200000004</v>
      </c>
      <c r="Z17" s="18">
        <f t="shared" si="7"/>
        <v>9.3042855171990944</v>
      </c>
      <c r="AB17" s="17">
        <v>2348.4960000000001</v>
      </c>
      <c r="AC17" s="5">
        <v>0</v>
      </c>
      <c r="AD17" s="29">
        <v>0</v>
      </c>
      <c r="AE17" s="8"/>
      <c r="AF17" s="30">
        <v>1406.8247400000002</v>
      </c>
      <c r="AG17" s="30">
        <v>0</v>
      </c>
      <c r="AH17" s="30">
        <v>0</v>
      </c>
      <c r="AI17" s="19">
        <v>0</v>
      </c>
      <c r="AJ17" s="19">
        <f>Y17-AB17+AD17+AF17+AI17+AH17+IF(AG17&lt;0,AG17,0)</f>
        <v>2700.1749600000003</v>
      </c>
      <c r="AK17" s="18">
        <f t="shared" si="8"/>
        <v>6.3093801786139903</v>
      </c>
      <c r="AM17" s="17">
        <v>2567.7719999999999</v>
      </c>
      <c r="AN17" s="5"/>
      <c r="AO17" s="29">
        <v>0</v>
      </c>
      <c r="AP17" s="8"/>
      <c r="AQ17" s="30">
        <v>2371.2633000000001</v>
      </c>
      <c r="AR17" s="30">
        <v>0</v>
      </c>
      <c r="AS17" s="30">
        <v>0</v>
      </c>
      <c r="AT17" s="19">
        <f>IF(K17&gt;0,K17,0)</f>
        <v>0</v>
      </c>
      <c r="AU17" s="19">
        <f>AJ17-AM17+AO17+AQ17+AT17+AS17+IF(AR17&lt;0,AR17,0)</f>
        <v>2503.6662600000004</v>
      </c>
      <c r="AV17" s="18">
        <f t="shared" si="9"/>
        <v>5.8502069342605196</v>
      </c>
    </row>
    <row r="18" spans="2:48" ht="14.5" customHeight="1">
      <c r="B18" s="53"/>
      <c r="C18" s="23" t="s">
        <v>22</v>
      </c>
      <c r="D18" s="24">
        <f>(SUM(D13:D17))</f>
        <v>14841.936</v>
      </c>
      <c r="E18" s="5"/>
      <c r="F18" s="24">
        <f>(SUM(F13:F17))</f>
        <v>5400</v>
      </c>
      <c r="G18" s="5"/>
      <c r="H18" s="24">
        <f>(SUM(H13:H17))</f>
        <v>27601.907999999999</v>
      </c>
      <c r="I18" s="25">
        <f t="shared" si="5"/>
        <v>11.158345380279231</v>
      </c>
      <c r="J18" s="24">
        <f>(SUM(J13:J17))</f>
        <v>0.42493999999987864</v>
      </c>
      <c r="K18" s="24">
        <f>(SUM(K13:K17))</f>
        <v>15326</v>
      </c>
      <c r="L18" s="24">
        <f>(SUM(L13:L17))</f>
        <v>0</v>
      </c>
      <c r="M18" s="24">
        <f>(SUM(M13:M17))</f>
        <v>4500</v>
      </c>
      <c r="N18" s="24">
        <f>H18+F18-D18+L18+M18+J18+IF(K18&lt;0,K18,0)</f>
        <v>22660.396939999995</v>
      </c>
      <c r="O18" s="25">
        <f t="shared" si="6"/>
        <v>8.7836715491551356</v>
      </c>
      <c r="Q18" s="24">
        <f>(SUM(Q13:Q17))</f>
        <v>15478.992000000002</v>
      </c>
      <c r="R18" s="15"/>
      <c r="S18" s="24">
        <f>(SUM(S13:S17))</f>
        <v>14400</v>
      </c>
      <c r="T18" s="5"/>
      <c r="U18" s="24">
        <f>(SUM(U13:U17))</f>
        <v>-0.055940000000191503</v>
      </c>
      <c r="V18" s="24">
        <f>(SUM(V13:V17))</f>
        <v>12830</v>
      </c>
      <c r="W18" s="24">
        <f>(SUM(W13:W17))</f>
        <v>0</v>
      </c>
      <c r="X18" s="24">
        <f>(SUM(X13:X17))</f>
        <v>0</v>
      </c>
      <c r="Y18" s="24">
        <f>N18-Q18+S18+U18+X18+W18+IF(V18&lt;0,V18,0)</f>
        <v>21581.348999999995</v>
      </c>
      <c r="Z18" s="25">
        <f t="shared" si="7"/>
        <v>11.066762558939134</v>
      </c>
      <c r="AB18" s="24">
        <f>(SUM(AB13:AB17))</f>
        <v>11700.629999999997</v>
      </c>
      <c r="AC18" s="5">
        <v>0</v>
      </c>
      <c r="AD18" s="24">
        <f>(SUM(AD13:AD17))</f>
        <v>0</v>
      </c>
      <c r="AE18" s="8"/>
      <c r="AF18" s="24">
        <f>(SUM(AF13:AF17))</f>
        <v>-0.45234000000073138</v>
      </c>
      <c r="AG18" s="24">
        <f>(SUM(AG13:AG17))</f>
        <v>12762</v>
      </c>
      <c r="AH18" s="24">
        <f>(SUM(AH13:AH17))</f>
        <v>0</v>
      </c>
      <c r="AI18" s="24">
        <f>(SUM(AI13:AI17))</f>
        <v>0</v>
      </c>
      <c r="AJ18" s="24">
        <f>Y18-AB18+AD18+AF18+AI18+AH18+IF(AG18&lt;0,AG18,0)</f>
        <v>9880.2666599999975</v>
      </c>
      <c r="AK18" s="25">
        <f t="shared" si="8"/>
        <v>4.5428643826055284</v>
      </c>
      <c r="AM18" s="24">
        <f>(SUM(AM13:AM17))</f>
        <v>13049.387999999999</v>
      </c>
      <c r="AN18" s="5"/>
      <c r="AO18" s="24">
        <f>(SUM(AO13:AO17))</f>
        <v>12600</v>
      </c>
      <c r="AP18" s="8"/>
      <c r="AQ18" s="24">
        <f>(SUM(AQ13:AQ17))</f>
        <v>-0.26017999999976382</v>
      </c>
      <c r="AR18" s="24">
        <f>(SUM(AR13:AR17))</f>
        <v>12770</v>
      </c>
      <c r="AS18" s="24">
        <f>(SUM(AS13:AS17))</f>
        <v>0</v>
      </c>
      <c r="AT18" s="24">
        <f>IF(K18&gt;0,K18,0)</f>
        <v>15326</v>
      </c>
      <c r="AU18" s="24">
        <f>AJ18-AM18+AO18+AQ18+AT18+AS18+IF(AR18&lt;0,AR18,0)</f>
        <v>24756.618479999997</v>
      </c>
      <c r="AV18" s="25">
        <f t="shared" si="9"/>
        <v>11.382887142293571</v>
      </c>
    </row>
    <row r="19" spans="2:20" ht="14.5">
      <c r="B19" s="103"/>
      <c r="E19" s="5"/>
      <c r="G19" s="5"/>
      <c r="H19" s="40"/>
      <c r="I19" s="40"/>
      <c r="J19" s="40"/>
      <c r="K19" s="40"/>
      <c r="L19" s="40"/>
      <c r="M19" s="40"/>
      <c r="T19" s="5"/>
    </row>
    <row r="20" spans="2:48" ht="29">
      <c r="B20" s="49"/>
      <c r="C20" s="11" t="s">
        <v>6</v>
      </c>
      <c r="D20" s="12" t="s">
        <v>2</v>
      </c>
      <c r="E20" s="5"/>
      <c r="F20" s="12" t="s">
        <v>8</v>
      </c>
      <c r="G20" s="5"/>
      <c r="H20" s="13" t="s">
        <v>51</v>
      </c>
      <c r="I20" s="14" t="s">
        <v>10</v>
      </c>
      <c r="J20" s="13" t="s">
        <v>90</v>
      </c>
      <c r="K20" s="13" t="s">
        <v>91</v>
      </c>
      <c r="L20" s="13" t="s">
        <v>92</v>
      </c>
      <c r="M20" s="13" t="s">
        <v>86</v>
      </c>
      <c r="N20" s="13" t="s">
        <v>52</v>
      </c>
      <c r="O20" s="14" t="s">
        <v>13</v>
      </c>
      <c r="Q20" s="12" t="s">
        <v>2</v>
      </c>
      <c r="R20" s="15"/>
      <c r="S20" s="12" t="s">
        <v>8</v>
      </c>
      <c r="T20" s="5"/>
      <c r="U20" s="13" t="s">
        <v>90</v>
      </c>
      <c r="V20" s="13" t="s">
        <v>91</v>
      </c>
      <c r="W20" s="13" t="s">
        <v>92</v>
      </c>
      <c r="X20" s="13" t="s">
        <v>86</v>
      </c>
      <c r="Y20" s="13" t="s">
        <v>52</v>
      </c>
      <c r="Z20" s="14" t="s">
        <v>13</v>
      </c>
      <c r="AB20" s="13" t="s">
        <v>2</v>
      </c>
      <c r="AC20" s="5">
        <v>0</v>
      </c>
      <c r="AD20" s="12" t="s">
        <v>53</v>
      </c>
      <c r="AE20" s="8"/>
      <c r="AF20" s="13" t="s">
        <v>90</v>
      </c>
      <c r="AG20" s="13" t="s">
        <v>91</v>
      </c>
      <c r="AH20" s="13" t="s">
        <v>92</v>
      </c>
      <c r="AI20" s="13" t="s">
        <v>86</v>
      </c>
      <c r="AJ20" s="13" t="s">
        <v>52</v>
      </c>
      <c r="AK20" s="14" t="s">
        <v>13</v>
      </c>
      <c r="AM20" s="13" t="s">
        <v>2</v>
      </c>
      <c r="AN20" s="5"/>
      <c r="AO20" s="12" t="s">
        <v>53</v>
      </c>
      <c r="AP20" s="8"/>
      <c r="AQ20" s="13" t="s">
        <v>90</v>
      </c>
      <c r="AR20" s="13" t="s">
        <v>91</v>
      </c>
      <c r="AS20" s="13" t="s">
        <v>92</v>
      </c>
      <c r="AT20" s="13" t="s">
        <v>86</v>
      </c>
      <c r="AU20" s="13" t="s">
        <v>52</v>
      </c>
      <c r="AV20" s="14" t="s">
        <v>13</v>
      </c>
    </row>
    <row r="21" spans="1:48" ht="14.5" customHeight="1">
      <c r="A21">
        <v>70792</v>
      </c>
      <c r="B21" s="47" t="s">
        <v>75</v>
      </c>
      <c r="C21" s="16" t="s">
        <v>54</v>
      </c>
      <c r="D21" s="17">
        <v>6074.8038000000015</v>
      </c>
      <c r="E21" s="5"/>
      <c r="F21" s="29">
        <v>0</v>
      </c>
      <c r="G21" s="5"/>
      <c r="H21" s="17">
        <v>1985.6159999999998</v>
      </c>
      <c r="I21" s="18">
        <f t="shared" si="10" ref="I21:I26">H21/(D21/6)</f>
        <v>1.961165560606253</v>
      </c>
      <c r="J21" s="30">
        <v>5050.048319999999</v>
      </c>
      <c r="K21" s="30">
        <v>0</v>
      </c>
      <c r="L21" s="30">
        <v>0</v>
      </c>
      <c r="M21" s="19">
        <v>0</v>
      </c>
      <c r="N21" s="19">
        <f>H21+F21-D21+L21+M21+J21+IF(K21&lt;0,K21,0)</f>
        <v>960.86051999999745</v>
      </c>
      <c r="O21" s="18">
        <f t="shared" si="11" ref="O21:O26">N21/(Q21/6)</f>
        <v>0.91708353734484138</v>
      </c>
      <c r="Q21" s="17">
        <v>6286.4100000000008</v>
      </c>
      <c r="R21" s="15"/>
      <c r="S21" s="29">
        <v>0</v>
      </c>
      <c r="T21" s="5"/>
      <c r="U21" s="30">
        <v>6161.584679999999</v>
      </c>
      <c r="V21" s="30">
        <v>0</v>
      </c>
      <c r="W21" s="30">
        <v>0</v>
      </c>
      <c r="X21" s="19">
        <v>0</v>
      </c>
      <c r="Y21" s="19">
        <f>N21-Q21+S21+U21+X21+W21+IF(V21&lt;0,V21,0)</f>
        <v>836.03519999999571</v>
      </c>
      <c r="Z21" s="18">
        <f t="shared" si="12" ref="Z21:Z26">Y21/(AB21/6)</f>
        <v>1.1780597580879988</v>
      </c>
      <c r="AB21" s="17">
        <v>4258.0278000000008</v>
      </c>
      <c r="AC21" s="5">
        <v>0</v>
      </c>
      <c r="AD21" s="29">
        <v>0</v>
      </c>
      <c r="AE21" s="8"/>
      <c r="AF21" s="30">
        <v>2792.9881800000003</v>
      </c>
      <c r="AG21" s="30">
        <v>0</v>
      </c>
      <c r="AH21" s="30">
        <v>0</v>
      </c>
      <c r="AI21" s="19">
        <v>0</v>
      </c>
      <c r="AJ21" s="19">
        <f>Y21-AB21+AD21+AF21+AI21+AH21+IF(AG21&lt;0,AG21,0)</f>
        <v>-629.00442000000476</v>
      </c>
      <c r="AK21" s="18">
        <f t="shared" si="13" ref="AK21:AK26">AJ21/(AM21/6)</f>
        <v>-0.7251354864057129</v>
      </c>
      <c r="AM21" s="17">
        <v>5204.5811999999996</v>
      </c>
      <c r="AN21" s="5"/>
      <c r="AO21" s="29">
        <v>0</v>
      </c>
      <c r="AP21" s="8"/>
      <c r="AQ21" s="30">
        <v>3048.110459999999</v>
      </c>
      <c r="AR21" s="30">
        <v>0</v>
      </c>
      <c r="AS21" s="30">
        <v>0</v>
      </c>
      <c r="AT21" s="19">
        <f>IF(K21&gt;0,K21,0)</f>
        <v>0</v>
      </c>
      <c r="AU21" s="19">
        <f>AJ21-AM21+AO21+AQ21+AT21+AS21+IF(AR21&lt;0,AR21,0)</f>
        <v>-2785.4751600000054</v>
      </c>
      <c r="AV21" s="18">
        <f t="shared" si="14" ref="AV21:AV26">AU21/(AM21/6)</f>
        <v>-3.2111807497594684</v>
      </c>
    </row>
    <row r="22" spans="1:48" ht="14.5" customHeight="1">
      <c r="A22">
        <v>70792</v>
      </c>
      <c r="B22" s="53"/>
      <c r="C22" s="16" t="s">
        <v>55</v>
      </c>
      <c r="D22" s="17">
        <v>1971.7542000000003</v>
      </c>
      <c r="E22" s="5"/>
      <c r="F22" s="29">
        <v>16200</v>
      </c>
      <c r="G22" s="5"/>
      <c r="H22" s="17">
        <v>302.00399999999996</v>
      </c>
      <c r="I22" s="18">
        <f t="shared" si="10"/>
        <v>0.91899081538662353</v>
      </c>
      <c r="J22" s="30">
        <v>-9281.1684600000026</v>
      </c>
      <c r="K22" s="30">
        <v>0</v>
      </c>
      <c r="L22" s="30">
        <v>0</v>
      </c>
      <c r="M22" s="19">
        <v>0</v>
      </c>
      <c r="N22" s="19">
        <f>H22+F22-D22+L22+M22+J22+IF(K22&lt;0,K22,0)</f>
        <v>5249.0813399999988</v>
      </c>
      <c r="O22" s="18">
        <f t="shared" si="11"/>
        <v>13.899950348632041</v>
      </c>
      <c r="Q22" s="17">
        <v>2265.7986000000001</v>
      </c>
      <c r="R22" s="15"/>
      <c r="S22" s="29">
        <v>0</v>
      </c>
      <c r="T22" s="5"/>
      <c r="U22" s="30">
        <v>-723.14279999999974</v>
      </c>
      <c r="V22" s="30">
        <v>0</v>
      </c>
      <c r="W22" s="30">
        <v>0</v>
      </c>
      <c r="X22" s="19">
        <v>0</v>
      </c>
      <c r="Y22" s="19">
        <f>N22-Q22+S22+U22+X22+W22+IF(V22&lt;0,V22,0)</f>
        <v>2260.1399399999991</v>
      </c>
      <c r="Z22" s="18">
        <f t="shared" si="12"/>
        <v>7.9400860637985033</v>
      </c>
      <c r="AB22" s="17">
        <v>1707.8958</v>
      </c>
      <c r="AC22" s="5">
        <v>0</v>
      </c>
      <c r="AD22" s="29">
        <v>12960</v>
      </c>
      <c r="AE22" s="8"/>
      <c r="AF22" s="30">
        <v>-10468.708380000002</v>
      </c>
      <c r="AG22" s="30">
        <v>0</v>
      </c>
      <c r="AH22" s="30">
        <v>0</v>
      </c>
      <c r="AI22" s="19">
        <v>0</v>
      </c>
      <c r="AJ22" s="19">
        <f>Y22-AB22+AD22+AF22+AI22+AH22+IF(AG22&lt;0,AG22,0)</f>
        <v>3043.535759999997</v>
      </c>
      <c r="AK22" s="18">
        <f t="shared" si="13"/>
        <v>9.9030974025783767</v>
      </c>
      <c r="AM22" s="17">
        <v>1843.9902000000002</v>
      </c>
      <c r="AN22" s="5"/>
      <c r="AO22" s="29">
        <v>0</v>
      </c>
      <c r="AP22" s="8"/>
      <c r="AQ22" s="30">
        <v>-1899.1762200000005</v>
      </c>
      <c r="AR22" s="30">
        <v>0</v>
      </c>
      <c r="AS22" s="30">
        <v>0</v>
      </c>
      <c r="AT22" s="19">
        <f>IF(K22&gt;0,K22,0)</f>
        <v>0</v>
      </c>
      <c r="AU22" s="19">
        <f>AJ22-AM22+AO22+AQ22+AT22+AS22+IF(AR22&lt;0,AR22,0)</f>
        <v>-699.63066000000367</v>
      </c>
      <c r="AV22" s="18">
        <f t="shared" si="14"/>
        <v>-2.2764676081250443</v>
      </c>
    </row>
    <row r="23" spans="1:48" ht="14.5" customHeight="1">
      <c r="A23">
        <v>70792</v>
      </c>
      <c r="B23" s="53"/>
      <c r="C23" s="16" t="s">
        <v>56</v>
      </c>
      <c r="D23" s="17">
        <v>3230.3466000000003</v>
      </c>
      <c r="E23" s="5"/>
      <c r="F23" s="29">
        <v>0</v>
      </c>
      <c r="G23" s="5"/>
      <c r="H23" s="17">
        <v>4383</v>
      </c>
      <c r="I23" s="18">
        <f t="shared" si="10"/>
        <v>8.1409220917656313</v>
      </c>
      <c r="J23" s="30">
        <v>3054.1505400000005</v>
      </c>
      <c r="K23" s="30">
        <v>0</v>
      </c>
      <c r="L23" s="30">
        <v>0</v>
      </c>
      <c r="M23" s="19">
        <v>0</v>
      </c>
      <c r="N23" s="19">
        <f>H23+F23-D23+L23+M23+J23+IF(K23&lt;0,K23,0)</f>
        <v>4206.8039399999998</v>
      </c>
      <c r="O23" s="18">
        <f t="shared" si="11"/>
        <v>7.1755707761388781</v>
      </c>
      <c r="Q23" s="17">
        <v>3517.6050000000005</v>
      </c>
      <c r="R23" s="15"/>
      <c r="S23" s="29">
        <v>0</v>
      </c>
      <c r="T23" s="5"/>
      <c r="U23" s="30">
        <v>316.95047999999991</v>
      </c>
      <c r="V23" s="30">
        <v>0</v>
      </c>
      <c r="W23" s="30">
        <v>0</v>
      </c>
      <c r="X23" s="19">
        <v>0</v>
      </c>
      <c r="Y23" s="19">
        <f>N23-Q23+S23+U23+X23+W23+IF(V23&lt;0,V23,0)</f>
        <v>1006.1494199999993</v>
      </c>
      <c r="Z23" s="18">
        <f t="shared" si="12"/>
        <v>2.331664609961865</v>
      </c>
      <c r="AB23" s="17">
        <v>2589.0930000000003</v>
      </c>
      <c r="AC23" s="5">
        <v>0</v>
      </c>
      <c r="AD23" s="29">
        <v>0</v>
      </c>
      <c r="AE23" s="8"/>
      <c r="AF23" s="30">
        <f>7714.10268-52</f>
        <v>7662.10268</v>
      </c>
      <c r="AG23" s="30">
        <v>0</v>
      </c>
      <c r="AH23" s="30">
        <v>0</v>
      </c>
      <c r="AI23" s="19">
        <v>0</v>
      </c>
      <c r="AJ23" s="19">
        <f>Y23-AB23+AD23+AF23+AI23+AH23+IF(AG23&lt;0,AG23,0)</f>
        <v>6079.1590999999989</v>
      </c>
      <c r="AK23" s="18">
        <f t="shared" si="13"/>
        <v>12.765724119321431</v>
      </c>
      <c r="AM23" s="17">
        <v>2857.2570000000001</v>
      </c>
      <c r="AN23" s="5"/>
      <c r="AO23" s="29">
        <v>0</v>
      </c>
      <c r="AP23" s="8"/>
      <c r="AQ23" s="30">
        <v>1441.7130600000003</v>
      </c>
      <c r="AR23" s="30">
        <v>0</v>
      </c>
      <c r="AS23" s="30">
        <v>0</v>
      </c>
      <c r="AT23" s="19">
        <f>IF(K23&gt;0,K23,0)</f>
        <v>0</v>
      </c>
      <c r="AU23" s="19">
        <f>AJ23-AM23+AO23+AQ23+AT23+AS23+IF(AR23&lt;0,AR23,0)</f>
        <v>4663.6151599999994</v>
      </c>
      <c r="AV23" s="18">
        <f t="shared" si="14"/>
        <v>9.7932005976361225</v>
      </c>
    </row>
    <row r="24" spans="1:48" ht="14.5" customHeight="1">
      <c r="A24">
        <v>70792</v>
      </c>
      <c r="B24" s="53"/>
      <c r="C24" s="16" t="s">
        <v>57</v>
      </c>
      <c r="D24" s="17">
        <v>78.858000000000004</v>
      </c>
      <c r="E24" s="5"/>
      <c r="F24" s="29">
        <v>0</v>
      </c>
      <c r="G24" s="5"/>
      <c r="H24" s="17">
        <v>0</v>
      </c>
      <c r="I24" s="18">
        <f t="shared" si="10"/>
        <v>0</v>
      </c>
      <c r="J24" s="30">
        <v>60.655680000000004</v>
      </c>
      <c r="K24" s="30">
        <v>0</v>
      </c>
      <c r="L24" s="30">
        <v>0</v>
      </c>
      <c r="M24" s="19">
        <v>0</v>
      </c>
      <c r="N24" s="19">
        <f>H24+F24-D24+L24+M24+J24+IF(K24&lt;0,K24,0)</f>
        <v>-18.20232</v>
      </c>
      <c r="O24" s="18">
        <f t="shared" si="11"/>
        <v>-1.1759288330716902</v>
      </c>
      <c r="Q24" s="17">
        <v>92.874600000000001</v>
      </c>
      <c r="R24" s="15"/>
      <c r="S24" s="29">
        <v>0</v>
      </c>
      <c r="T24" s="5"/>
      <c r="U24" s="30">
        <v>71.433539999999994</v>
      </c>
      <c r="V24" s="30">
        <v>0</v>
      </c>
      <c r="W24" s="30">
        <v>0</v>
      </c>
      <c r="X24" s="19">
        <v>0</v>
      </c>
      <c r="Y24" s="19">
        <f>N24-Q24+S24+U24+X24+W24+IF(V24&lt;0,V24,0)</f>
        <v>-39.643380000000008</v>
      </c>
      <c r="Z24" s="18">
        <f t="shared" si="12"/>
        <v>-3.7802042509368659</v>
      </c>
      <c r="AB24" s="17">
        <v>62.922600000000003</v>
      </c>
      <c r="AC24" s="5">
        <v>0</v>
      </c>
      <c r="AD24" s="29">
        <v>0</v>
      </c>
      <c r="AE24" s="8"/>
      <c r="AF24" s="30">
        <v>48.390480000000004</v>
      </c>
      <c r="AG24" s="30">
        <v>0</v>
      </c>
      <c r="AH24" s="30">
        <v>0</v>
      </c>
      <c r="AI24" s="19">
        <v>0</v>
      </c>
      <c r="AJ24" s="19">
        <f>Y24-AB24+AD24+AF24+AI24+AH24+IF(AG24&lt;0,AG24,0)</f>
        <v>-54.175500000000007</v>
      </c>
      <c r="AK24" s="18">
        <f t="shared" si="13"/>
        <v>-4.9329381555944058</v>
      </c>
      <c r="AM24" s="17">
        <v>65.894400000000005</v>
      </c>
      <c r="AN24" s="5"/>
      <c r="AO24" s="29">
        <v>0</v>
      </c>
      <c r="AP24" s="8"/>
      <c r="AQ24" s="30">
        <v>50.694840000000006</v>
      </c>
      <c r="AR24" s="30">
        <v>0</v>
      </c>
      <c r="AS24" s="30">
        <v>0</v>
      </c>
      <c r="AT24" s="19">
        <f>IF(K24&gt;0,K24,0)</f>
        <v>0</v>
      </c>
      <c r="AU24" s="19">
        <f>AJ24-AM24+AO24+AQ24+AT24+AS24+IF(AR24&lt;0,AR24,0)</f>
        <v>-69.375060000000019</v>
      </c>
      <c r="AV24" s="18">
        <f t="shared" si="14"/>
        <v>-6.3169307255244771</v>
      </c>
    </row>
    <row r="25" spans="1:48" ht="14.5" customHeight="1">
      <c r="A25">
        <v>70792</v>
      </c>
      <c r="B25" s="53"/>
      <c r="C25" s="16" t="s">
        <v>58</v>
      </c>
      <c r="D25" s="17">
        <v>2227.5162</v>
      </c>
      <c r="E25" s="5"/>
      <c r="F25" s="29">
        <v>0</v>
      </c>
      <c r="G25" s="5"/>
      <c r="H25" s="17">
        <v>964.81799999999998</v>
      </c>
      <c r="I25" s="18">
        <f t="shared" si="10"/>
        <v>2.5988174631457226</v>
      </c>
      <c r="J25" s="30">
        <f>1182.5352-66</f>
        <v>1116.5352</v>
      </c>
      <c r="K25" s="30">
        <v>0</v>
      </c>
      <c r="L25" s="30">
        <v>0</v>
      </c>
      <c r="M25" s="19">
        <v>0</v>
      </c>
      <c r="N25" s="19">
        <f>H25+F25-D25+L25+M25+J25+IF(K25&lt;0,K25,0)</f>
        <v>-146.16300000000001</v>
      </c>
      <c r="O25" s="18">
        <f t="shared" si="11"/>
        <v>-0.35604875838582856</v>
      </c>
      <c r="Q25" s="17">
        <v>2463.0839999999998</v>
      </c>
      <c r="R25" s="15"/>
      <c r="S25" s="29">
        <v>9000</v>
      </c>
      <c r="T25" s="5"/>
      <c r="U25" s="30">
        <f>-5749.65288-77</f>
        <v>-5826.6528799999996</v>
      </c>
      <c r="V25" s="30">
        <v>0</v>
      </c>
      <c r="W25" s="30">
        <v>0</v>
      </c>
      <c r="X25" s="19">
        <v>0</v>
      </c>
      <c r="Y25" s="19">
        <f>N25-Q25+S25+U25+X25+W25+IF(V25&lt;0,V25,0)</f>
        <v>564.10012000000097</v>
      </c>
      <c r="Z25" s="18">
        <f t="shared" si="12"/>
        <v>1.8912519307294375</v>
      </c>
      <c r="AB25" s="17">
        <v>1789.6086</v>
      </c>
      <c r="AC25" s="5">
        <v>0</v>
      </c>
      <c r="AD25" s="29">
        <v>7560</v>
      </c>
      <c r="AE25" s="8"/>
      <c r="AF25" s="30">
        <v>-34.375500000000557</v>
      </c>
      <c r="AG25" s="30">
        <v>0</v>
      </c>
      <c r="AH25" s="30">
        <v>0</v>
      </c>
      <c r="AI25" s="19">
        <v>0</v>
      </c>
      <c r="AJ25" s="19">
        <f>Y25-AB25+AD25+AF25+AI25+AH25+IF(AG25&lt;0,AG25,0)</f>
        <v>6300.1160200000013</v>
      </c>
      <c r="AK25" s="18">
        <f t="shared" si="13"/>
        <v>18.658485574886974</v>
      </c>
      <c r="AM25" s="17">
        <v>2025.9251999999999</v>
      </c>
      <c r="AN25" s="5"/>
      <c r="AO25" s="29">
        <v>0</v>
      </c>
      <c r="AP25" s="8"/>
      <c r="AQ25" s="30">
        <f>-2587.25484-54</f>
        <v>-2641.2548400000001</v>
      </c>
      <c r="AR25" s="30">
        <v>0</v>
      </c>
      <c r="AS25" s="30">
        <v>0</v>
      </c>
      <c r="AT25" s="19">
        <f>IF(K25&gt;0,K25,0)</f>
        <v>0</v>
      </c>
      <c r="AU25" s="19">
        <f>AJ25-AM25+AO25+AQ25+AT25+AS25+IF(AR25&lt;0,AR25,0)</f>
        <v>1632.9359800000016</v>
      </c>
      <c r="AV25" s="18">
        <f t="shared" si="14"/>
        <v>4.8361192604741818</v>
      </c>
    </row>
    <row r="26" spans="2:48" ht="14.5" customHeight="1">
      <c r="B26" s="53"/>
      <c r="C26" s="23" t="s">
        <v>22</v>
      </c>
      <c r="D26" s="24">
        <f>(SUM(D21:D25))</f>
        <v>13583.278800000002</v>
      </c>
      <c r="E26" s="5"/>
      <c r="F26" s="24">
        <f>(SUM(F21:F25))</f>
        <v>16200</v>
      </c>
      <c r="G26" s="5"/>
      <c r="H26" s="24">
        <f>(SUM(H21:H25))</f>
        <v>7635.4380000000001</v>
      </c>
      <c r="I26" s="25">
        <f t="shared" si="10"/>
        <v>3.3727223503650676</v>
      </c>
      <c r="J26" s="24">
        <f>(SUM(J21:J25))</f>
        <v>0.22127999999702297</v>
      </c>
      <c r="K26" s="24">
        <f>(SUM(K21:K25))</f>
        <v>0</v>
      </c>
      <c r="L26" s="24">
        <f>(SUM(L21:L25))</f>
        <v>0</v>
      </c>
      <c r="M26" s="24">
        <f>(SUM(M21:M25))</f>
        <v>0</v>
      </c>
      <c r="N26" s="24">
        <f>H26+F26-D26+L26+M26+J26+IF(K26&lt;0,K26,0)</f>
        <v>10252.380479999996</v>
      </c>
      <c r="O26" s="25">
        <f t="shared" si="11"/>
        <v>4.2058827416989297</v>
      </c>
      <c r="Q26" s="24">
        <f>(SUM(Q21:Q25))</f>
        <v>14625.772199999999</v>
      </c>
      <c r="R26" s="15"/>
      <c r="S26" s="24">
        <f>(SUM(S21:S25))</f>
        <v>9000</v>
      </c>
      <c r="T26" s="5"/>
      <c r="U26" s="24">
        <f>(SUM(U21:U25))</f>
        <v>0.1730199999992692</v>
      </c>
      <c r="V26" s="24">
        <f>(SUM(V21:V25))</f>
        <v>0</v>
      </c>
      <c r="W26" s="24">
        <f>(SUM(W21:W25))</f>
        <v>0</v>
      </c>
      <c r="X26" s="24">
        <f>(SUM(X21:X25))</f>
        <v>0</v>
      </c>
      <c r="Y26" s="24">
        <f>N26-Q26+S26+U26+X26+W26+IF(V26&lt;0,V26,0)</f>
        <v>4626.781299999996</v>
      </c>
      <c r="Z26" s="25">
        <f t="shared" si="12"/>
        <v>2.6673610665521013</v>
      </c>
      <c r="AB26" s="24">
        <f>(SUM(AB21:AB25))</f>
        <v>10407.5478</v>
      </c>
      <c r="AC26" s="5">
        <v>0</v>
      </c>
      <c r="AD26" s="24">
        <f>(SUM(AD21:AD25))</f>
        <v>20520</v>
      </c>
      <c r="AE26" s="8"/>
      <c r="AF26" s="24">
        <f>(SUM(AF21:AF25))</f>
        <v>0.39745999999784232</v>
      </c>
      <c r="AG26" s="24">
        <f>(SUM(AG21:AG25))</f>
        <v>0</v>
      </c>
      <c r="AH26" s="24">
        <f>(SUM(AH21:AH25))</f>
        <v>0</v>
      </c>
      <c r="AI26" s="24">
        <f>(SUM(AI21:AI25))</f>
        <v>0</v>
      </c>
      <c r="AJ26" s="24">
        <f>Y26-AB26+AD26+AF26+AI26+AH26+IF(AG26&lt;0,AG26,0)</f>
        <v>14739.630959999993</v>
      </c>
      <c r="AK26" s="25">
        <f t="shared" si="13"/>
        <v>7.3712602470084105</v>
      </c>
      <c r="AM26" s="24">
        <f>(SUM(AM21:AM25))</f>
        <v>11997.647999999999</v>
      </c>
      <c r="AN26" s="5"/>
      <c r="AO26" s="24">
        <f>(SUM(AO21:AO25))</f>
        <v>0</v>
      </c>
      <c r="AP26" s="8"/>
      <c r="AQ26" s="24">
        <f>(SUM(AQ21:AQ25))</f>
        <v>0.087299999998776912</v>
      </c>
      <c r="AR26" s="24">
        <f>(SUM(AR21:AR25))</f>
        <v>0</v>
      </c>
      <c r="AS26" s="24">
        <f>(SUM(AS21:AS25))</f>
        <v>0</v>
      </c>
      <c r="AT26" s="24">
        <f>IF(K26&gt;0,K26,0)</f>
        <v>0</v>
      </c>
      <c r="AU26" s="24">
        <f>AJ26-AM26+AO26+AQ26+AT26+AS26+IF(AR26&lt;0,AR26,0)</f>
        <v>2742.0702599999927</v>
      </c>
      <c r="AV26" s="25">
        <f t="shared" si="14"/>
        <v>1.3713039055654872</v>
      </c>
    </row>
    <row r="27" spans="2:42" ht="14.5">
      <c r="B27" s="103"/>
      <c r="C27" s="27"/>
      <c r="E27" s="5"/>
      <c r="G27" s="5"/>
      <c r="T27" s="5"/>
      <c r="AC27" s="5"/>
      <c r="AE27" s="5"/>
      <c r="AN27" s="5"/>
      <c r="AP27" s="5"/>
    </row>
    <row r="28" spans="2:48" ht="29">
      <c r="B28" s="49"/>
      <c r="C28" s="11" t="s">
        <v>6</v>
      </c>
      <c r="D28" s="12" t="s">
        <v>2</v>
      </c>
      <c r="E28" s="5"/>
      <c r="F28" s="12" t="s">
        <v>8</v>
      </c>
      <c r="G28" s="5"/>
      <c r="H28" s="13" t="s">
        <v>51</v>
      </c>
      <c r="I28" s="14" t="s">
        <v>10</v>
      </c>
      <c r="J28" s="13" t="s">
        <v>90</v>
      </c>
      <c r="K28" s="13" t="s">
        <v>91</v>
      </c>
      <c r="L28" s="13" t="s">
        <v>92</v>
      </c>
      <c r="M28" s="13" t="s">
        <v>86</v>
      </c>
      <c r="N28" s="13" t="s">
        <v>52</v>
      </c>
      <c r="O28" s="14" t="s">
        <v>13</v>
      </c>
      <c r="Q28" s="12" t="s">
        <v>2</v>
      </c>
      <c r="R28" s="15"/>
      <c r="S28" s="12" t="s">
        <v>8</v>
      </c>
      <c r="T28" s="5"/>
      <c r="U28" s="13" t="s">
        <v>90</v>
      </c>
      <c r="V28" s="13" t="s">
        <v>91</v>
      </c>
      <c r="W28" s="13" t="s">
        <v>92</v>
      </c>
      <c r="X28" s="13" t="s">
        <v>86</v>
      </c>
      <c r="Y28" s="13" t="s">
        <v>52</v>
      </c>
      <c r="Z28" s="14" t="s">
        <v>13</v>
      </c>
      <c r="AB28" s="13" t="s">
        <v>2</v>
      </c>
      <c r="AC28" s="5">
        <v>0</v>
      </c>
      <c r="AD28" s="12" t="s">
        <v>53</v>
      </c>
      <c r="AE28" s="8"/>
      <c r="AF28" s="13" t="s">
        <v>90</v>
      </c>
      <c r="AG28" s="13" t="s">
        <v>91</v>
      </c>
      <c r="AH28" s="13" t="s">
        <v>92</v>
      </c>
      <c r="AI28" s="13" t="s">
        <v>86</v>
      </c>
      <c r="AJ28" s="13" t="s">
        <v>52</v>
      </c>
      <c r="AK28" s="14" t="s">
        <v>13</v>
      </c>
      <c r="AM28" s="13" t="s">
        <v>2</v>
      </c>
      <c r="AN28" s="5"/>
      <c r="AO28" s="12" t="s">
        <v>53</v>
      </c>
      <c r="AP28" s="8"/>
      <c r="AQ28" s="13" t="s">
        <v>90</v>
      </c>
      <c r="AR28" s="13" t="s">
        <v>91</v>
      </c>
      <c r="AS28" s="13" t="s">
        <v>92</v>
      </c>
      <c r="AT28" s="13" t="s">
        <v>86</v>
      </c>
      <c r="AU28" s="13" t="s">
        <v>52</v>
      </c>
      <c r="AV28" s="14" t="s">
        <v>13</v>
      </c>
    </row>
    <row r="29" spans="1:48" ht="14.5" customHeight="1">
      <c r="A29">
        <v>83179</v>
      </c>
      <c r="B29" s="47" t="s">
        <v>76</v>
      </c>
      <c r="C29" s="16" t="s">
        <v>54</v>
      </c>
      <c r="D29" s="17">
        <v>1854.1979999999999</v>
      </c>
      <c r="E29" s="5"/>
      <c r="F29" s="29">
        <v>0</v>
      </c>
      <c r="G29" s="5"/>
      <c r="H29" s="17">
        <v>3877.2000000000003</v>
      </c>
      <c r="I29" s="18">
        <f t="shared" si="15" ref="I29:I34">H29/(D29/6)</f>
        <v>12.546232926580659</v>
      </c>
      <c r="J29" s="30">
        <v>2891.4483600000008</v>
      </c>
      <c r="K29" s="30">
        <v>0</v>
      </c>
      <c r="L29" s="30">
        <v>0</v>
      </c>
      <c r="M29" s="19">
        <v>0</v>
      </c>
      <c r="N29" s="19">
        <f>H29+F29-D29+L29+M29+J29+IF(K29&lt;0,K29,0)</f>
        <v>4914.4503600000007</v>
      </c>
      <c r="O29" s="18">
        <f t="shared" si="16" ref="O29:O34">N29/(Q29/6)</f>
        <v>15.117385430316897</v>
      </c>
      <c r="Q29" s="17">
        <v>1950.5160000000008</v>
      </c>
      <c r="R29" s="15"/>
      <c r="S29" s="29">
        <v>0</v>
      </c>
      <c r="T29" s="5"/>
      <c r="U29" s="30">
        <v>1112.5067400000007</v>
      </c>
      <c r="V29" s="30">
        <v>0</v>
      </c>
      <c r="W29" s="30">
        <v>0</v>
      </c>
      <c r="X29" s="19">
        <v>0</v>
      </c>
      <c r="Y29" s="19">
        <f>N29-Q29+S29+U29+X29+W29+IF(V29&lt;0,V29,0)</f>
        <v>4076.4411000000009</v>
      </c>
      <c r="Z29" s="18">
        <f t="shared" si="17" ref="Z29:Z34">Y29/(AB29/6)</f>
        <v>17.169529068371642</v>
      </c>
      <c r="AB29" s="17">
        <v>1424.5380000000002</v>
      </c>
      <c r="AC29" s="5">
        <v>0</v>
      </c>
      <c r="AD29" s="29">
        <v>0</v>
      </c>
      <c r="AE29" s="8"/>
      <c r="AF29" s="30">
        <v>1008.9721800000001</v>
      </c>
      <c r="AG29" s="30">
        <v>0</v>
      </c>
      <c r="AH29" s="30">
        <v>0</v>
      </c>
      <c r="AI29" s="19">
        <v>0</v>
      </c>
      <c r="AJ29" s="19">
        <f>Y29-AB29+AD29+AF29+AI29+AH29+IF(AG29&lt;0,AG29,0)</f>
        <v>3660.8752800000007</v>
      </c>
      <c r="AK29" s="18">
        <f t="shared" si="18" ref="AK29:AK34">AJ29/(AM29/6)</f>
        <v>13.361200030657724</v>
      </c>
      <c r="AM29" s="17">
        <v>1643.9579999999996</v>
      </c>
      <c r="AN29" s="5"/>
      <c r="AO29" s="29">
        <v>0</v>
      </c>
      <c r="AP29" s="8"/>
      <c r="AQ29" s="30">
        <v>966.72077999999976</v>
      </c>
      <c r="AR29" s="30">
        <v>0</v>
      </c>
      <c r="AS29" s="30">
        <v>0</v>
      </c>
      <c r="AT29" s="19">
        <f>IF(K29&gt;0,K29,0)</f>
        <v>0</v>
      </c>
      <c r="AU29" s="19">
        <f>AJ29-AM29+AO29+AQ29+AT29+AS29+IF(AR29&lt;0,AR29,0)</f>
        <v>2983.6380600000007</v>
      </c>
      <c r="AV29" s="18">
        <f t="shared" si="19" ref="AV29:AV34">AU29/(AM29/6)</f>
        <v>10.889468198092658</v>
      </c>
    </row>
    <row r="30" spans="1:48" ht="14.5" customHeight="1">
      <c r="A30">
        <v>83179</v>
      </c>
      <c r="B30" s="53"/>
      <c r="C30" s="16" t="s">
        <v>55</v>
      </c>
      <c r="D30" s="17">
        <v>1370.8800000000003</v>
      </c>
      <c r="E30" s="5"/>
      <c r="F30" s="29">
        <v>5400</v>
      </c>
      <c r="G30" s="5"/>
      <c r="H30" s="17">
        <v>8016.2780000000002</v>
      </c>
      <c r="I30" s="18">
        <f t="shared" si="15"/>
        <v>35.085250350140051</v>
      </c>
      <c r="J30" s="30">
        <v>-4225.0426200000002</v>
      </c>
      <c r="K30" s="30">
        <v>0</v>
      </c>
      <c r="L30" s="30">
        <v>0</v>
      </c>
      <c r="M30" s="19">
        <v>0</v>
      </c>
      <c r="N30" s="19">
        <f>H30+F30-D30+L30+M30+J30+IF(K30&lt;0,K30,0)</f>
        <v>7820.3553799999991</v>
      </c>
      <c r="O30" s="18">
        <f t="shared" si="16"/>
        <v>28.970395157496203</v>
      </c>
      <c r="Q30" s="17">
        <v>1619.6580000000001</v>
      </c>
      <c r="R30" s="15"/>
      <c r="S30" s="29">
        <v>0</v>
      </c>
      <c r="T30" s="5"/>
      <c r="U30" s="30">
        <v>-3080.0278800000001</v>
      </c>
      <c r="V30" s="30">
        <v>0</v>
      </c>
      <c r="W30" s="30">
        <v>0</v>
      </c>
      <c r="X30" s="19">
        <v>0</v>
      </c>
      <c r="Y30" s="19">
        <f>N30-Q30+S30+U30+X30+W30+IF(V30&lt;0,V30,0)</f>
        <v>3120.6694999999986</v>
      </c>
      <c r="Z30" s="18">
        <f t="shared" si="17"/>
        <v>14.772120291213412</v>
      </c>
      <c r="AB30" s="17">
        <v>1267.5240000000003</v>
      </c>
      <c r="AC30" s="5">
        <v>0</v>
      </c>
      <c r="AD30" s="29">
        <v>10800</v>
      </c>
      <c r="AE30" s="8"/>
      <c r="AF30" s="30">
        <v>-3487.035060000002</v>
      </c>
      <c r="AG30" s="30">
        <v>0</v>
      </c>
      <c r="AH30" s="30">
        <v>0</v>
      </c>
      <c r="AI30" s="19">
        <v>0</v>
      </c>
      <c r="AJ30" s="19">
        <f>Y30-AB30+AD30+AF30+AI30+AH30+IF(AG30&lt;0,AG30,0)</f>
        <v>9166.1104399999967</v>
      </c>
      <c r="AK30" s="18">
        <f t="shared" si="18"/>
        <v>39.375863736924607</v>
      </c>
      <c r="AM30" s="17">
        <v>1396.7100000000003</v>
      </c>
      <c r="AN30" s="5"/>
      <c r="AO30" s="29">
        <v>0</v>
      </c>
      <c r="AP30" s="8"/>
      <c r="AQ30" s="30">
        <v>-3721.3300800000011</v>
      </c>
      <c r="AR30" s="30">
        <v>0</v>
      </c>
      <c r="AS30" s="30">
        <v>0</v>
      </c>
      <c r="AT30" s="19">
        <f>IF(K30&gt;0,K30,0)</f>
        <v>0</v>
      </c>
      <c r="AU30" s="19">
        <f>AJ30-AM30+AO30+AQ30+AT30+AS30+IF(AR30&lt;0,AR30,0)</f>
        <v>4048.0703599999956</v>
      </c>
      <c r="AV30" s="18">
        <f t="shared" si="19"/>
        <v>17.389738857744248</v>
      </c>
    </row>
    <row r="31" spans="1:48" ht="14.5" customHeight="1">
      <c r="A31">
        <v>83179</v>
      </c>
      <c r="B31" s="53"/>
      <c r="C31" s="16" t="s">
        <v>56</v>
      </c>
      <c r="D31" s="17">
        <v>1199.7180000000001</v>
      </c>
      <c r="E31" s="5"/>
      <c r="F31" s="29">
        <v>0</v>
      </c>
      <c r="G31" s="5"/>
      <c r="H31" s="17">
        <v>5080.1040000000003</v>
      </c>
      <c r="I31" s="18">
        <f t="shared" si="15"/>
        <v>25.406490525273441</v>
      </c>
      <c r="J31" s="30">
        <v>228.44159999999997</v>
      </c>
      <c r="K31" s="30">
        <v>0</v>
      </c>
      <c r="L31" s="30">
        <v>0</v>
      </c>
      <c r="M31" s="19">
        <v>0</v>
      </c>
      <c r="N31" s="19">
        <f>H31+F31-D31+L31+M31+J31+IF(K31&lt;0,K31,0)</f>
        <v>4108.8276000000005</v>
      </c>
      <c r="O31" s="18">
        <f t="shared" si="16"/>
        <v>17.807483877678397</v>
      </c>
      <c r="Q31" s="17">
        <v>1384.4159999999995</v>
      </c>
      <c r="R31" s="15"/>
      <c r="S31" s="29">
        <v>0</v>
      </c>
      <c r="T31" s="5"/>
      <c r="U31" s="30">
        <v>525.88278000000037</v>
      </c>
      <c r="V31" s="30">
        <v>0</v>
      </c>
      <c r="W31" s="30">
        <v>0</v>
      </c>
      <c r="X31" s="19">
        <v>0</v>
      </c>
      <c r="Y31" s="19">
        <f>N31-Q31+S31+U31+X31+W31+IF(V31&lt;0,V31,0)</f>
        <v>3250.2943800000016</v>
      </c>
      <c r="Z31" s="18">
        <f t="shared" si="17"/>
        <v>18.542066026595482</v>
      </c>
      <c r="AB31" s="17">
        <v>1051.7579999999998</v>
      </c>
      <c r="AC31" s="5">
        <v>0</v>
      </c>
      <c r="AD31" s="29">
        <v>0</v>
      </c>
      <c r="AE31" s="8"/>
      <c r="AF31" s="30">
        <v>1107.11232</v>
      </c>
      <c r="AG31" s="30">
        <v>0</v>
      </c>
      <c r="AH31" s="30">
        <v>0</v>
      </c>
      <c r="AI31" s="19">
        <v>0</v>
      </c>
      <c r="AJ31" s="19">
        <f>Y31-AB31+AD31+AF31+AI31+AH31+IF(AG31&lt;0,AG31,0)</f>
        <v>3305.6487000000016</v>
      </c>
      <c r="AK31" s="18">
        <f t="shared" si="18"/>
        <v>17.338561155607316</v>
      </c>
      <c r="AM31" s="17">
        <v>1143.9179999999999</v>
      </c>
      <c r="AN31" s="5"/>
      <c r="AO31" s="29">
        <v>0</v>
      </c>
      <c r="AP31" s="8"/>
      <c r="AQ31" s="30">
        <v>1130.4172799999997</v>
      </c>
      <c r="AR31" s="30">
        <v>0</v>
      </c>
      <c r="AS31" s="30">
        <v>0</v>
      </c>
      <c r="AT31" s="19">
        <f>IF(K31&gt;0,K31,0)</f>
        <v>0</v>
      </c>
      <c r="AU31" s="19">
        <f>AJ31-AM31+AO31+AQ31+AT31+AS31+IF(AR31&lt;0,AR31,0)</f>
        <v>3292.1479800000016</v>
      </c>
      <c r="AV31" s="18">
        <f t="shared" si="19"/>
        <v>17.267748107818925</v>
      </c>
    </row>
    <row r="32" spans="1:48" ht="14.5" customHeight="1">
      <c r="A32">
        <v>83179</v>
      </c>
      <c r="B32" s="53"/>
      <c r="C32" s="16" t="s">
        <v>57</v>
      </c>
      <c r="D32" s="17">
        <v>48.113999999999997</v>
      </c>
      <c r="E32" s="5"/>
      <c r="F32" s="29">
        <v>0</v>
      </c>
      <c r="G32" s="5"/>
      <c r="H32" s="17">
        <v>0</v>
      </c>
      <c r="I32" s="18">
        <f t="shared" si="15"/>
        <v>0</v>
      </c>
      <c r="J32" s="30">
        <v>48.110579999999999</v>
      </c>
      <c r="K32" s="30">
        <v>0</v>
      </c>
      <c r="L32" s="30">
        <v>0</v>
      </c>
      <c r="M32" s="19">
        <v>0</v>
      </c>
      <c r="N32" s="19">
        <f>H32+F32-D32+L32+M32+J32+IF(K32&lt;0,K32,0)</f>
        <v>-0.0034199999999984243</v>
      </c>
      <c r="O32" s="18">
        <f t="shared" si="16"/>
        <v>-0.00035703100532398204</v>
      </c>
      <c r="Q32" s="17">
        <v>57.474000000000004</v>
      </c>
      <c r="R32" s="15"/>
      <c r="S32" s="29">
        <v>0</v>
      </c>
      <c r="T32" s="5"/>
      <c r="U32" s="30">
        <v>38.149380000000001</v>
      </c>
      <c r="V32" s="30">
        <v>0</v>
      </c>
      <c r="W32" s="30">
        <v>0</v>
      </c>
      <c r="X32" s="19">
        <v>0</v>
      </c>
      <c r="Y32" s="19">
        <f>N32-Q32+S32+U32+X32+W32+IF(V32&lt;0,V32,0)</f>
        <v>-19.328040000000001</v>
      </c>
      <c r="Z32" s="18">
        <f t="shared" si="17"/>
        <v>-2.97720887245841</v>
      </c>
      <c r="AB32" s="17">
        <v>38.952000000000005</v>
      </c>
      <c r="AC32" s="5">
        <v>0</v>
      </c>
      <c r="AD32" s="29">
        <v>0</v>
      </c>
      <c r="AE32" s="8"/>
      <c r="AF32" s="30">
        <v>38.938140000000004</v>
      </c>
      <c r="AG32" s="30">
        <v>0</v>
      </c>
      <c r="AH32" s="30">
        <v>0</v>
      </c>
      <c r="AI32" s="19">
        <v>0</v>
      </c>
      <c r="AJ32" s="19">
        <f>Y32-AB32+AD32+AF32+AI32+AH32+IF(AG32&lt;0,AG32,0)</f>
        <v>-19.341900000000003</v>
      </c>
      <c r="AK32" s="18">
        <f t="shared" si="18"/>
        <v>-2.845233892321271</v>
      </c>
      <c r="AM32" s="17">
        <v>40.788000000000004</v>
      </c>
      <c r="AN32" s="5"/>
      <c r="AO32" s="29">
        <v>0</v>
      </c>
      <c r="AP32" s="8"/>
      <c r="AQ32" s="30">
        <v>40.792320000000004</v>
      </c>
      <c r="AR32" s="30">
        <v>0</v>
      </c>
      <c r="AS32" s="30">
        <v>0</v>
      </c>
      <c r="AT32" s="19">
        <f>IF(K32&gt;0,K32,0)</f>
        <v>0</v>
      </c>
      <c r="AU32" s="19">
        <f>AJ32-AM32+AO32+AQ32+AT32+AS32+IF(AR32&lt;0,AR32,0)</f>
        <v>-19.337580000000003</v>
      </c>
      <c r="AV32" s="18">
        <f t="shared" si="19"/>
        <v>-2.8445984112974405</v>
      </c>
    </row>
    <row r="33" spans="1:48" ht="14.5" customHeight="1">
      <c r="A33">
        <v>83179</v>
      </c>
      <c r="B33" s="53"/>
      <c r="C33" s="16" t="s">
        <v>58</v>
      </c>
      <c r="D33" s="17">
        <v>1579.2660000000001</v>
      </c>
      <c r="E33" s="5"/>
      <c r="F33" s="29">
        <v>0</v>
      </c>
      <c r="G33" s="5"/>
      <c r="H33" s="17">
        <v>4416.6960000000008</v>
      </c>
      <c r="I33" s="18">
        <f t="shared" si="15"/>
        <v>16.780058584177716</v>
      </c>
      <c r="J33" s="30">
        <f>1113.66468-57</f>
        <v>1056.6646800000001</v>
      </c>
      <c r="K33" s="30">
        <v>0</v>
      </c>
      <c r="L33" s="30">
        <v>0</v>
      </c>
      <c r="M33" s="19">
        <v>0</v>
      </c>
      <c r="N33" s="19">
        <f>H33+F33-D33+L33+M33+J33+IF(K33&lt;0,K33,0)</f>
        <v>3894.0946800000011</v>
      </c>
      <c r="O33" s="18">
        <f t="shared" si="16"/>
        <v>13.736801244536634</v>
      </c>
      <c r="Q33" s="17">
        <v>1700.8740000000003</v>
      </c>
      <c r="R33" s="15"/>
      <c r="S33" s="29">
        <v>0</v>
      </c>
      <c r="T33" s="5"/>
      <c r="U33" s="30">
        <f>1175.23998+228</f>
        <v>1403.2399800000001</v>
      </c>
      <c r="V33" s="30">
        <v>-228</v>
      </c>
      <c r="W33" s="30">
        <v>0</v>
      </c>
      <c r="X33" s="19">
        <v>0</v>
      </c>
      <c r="Y33" s="19">
        <f>N33-Q33+S33+U33+X33+W33+IF(V33&lt;0,V33,0)</f>
        <v>3368.4606600000006</v>
      </c>
      <c r="Z33" s="18">
        <f t="shared" si="17"/>
        <v>16.545396165804636</v>
      </c>
      <c r="AB33" s="17">
        <v>1221.5340000000001</v>
      </c>
      <c r="AC33" s="5">
        <v>0</v>
      </c>
      <c r="AD33" s="29">
        <v>0</v>
      </c>
      <c r="AE33" s="8"/>
      <c r="AF33" s="30">
        <f>957.31668+375</f>
        <v>1332.3166799999999</v>
      </c>
      <c r="AG33" s="30">
        <v>-375</v>
      </c>
      <c r="AH33" s="30">
        <v>0</v>
      </c>
      <c r="AI33" s="19">
        <v>0</v>
      </c>
      <c r="AJ33" s="19">
        <f>Y33-AB33+AD33+AF33+AI33+AH33+IF(AG33&lt;0,AG33,0)</f>
        <v>3104.2433400000004</v>
      </c>
      <c r="AK33" s="18">
        <f t="shared" si="18"/>
        <v>13.39427310266268</v>
      </c>
      <c r="AM33" s="17">
        <v>1390.5540000000001</v>
      </c>
      <c r="AN33" s="5"/>
      <c r="AO33" s="29">
        <v>0</v>
      </c>
      <c r="AP33" s="8"/>
      <c r="AQ33" s="30">
        <f>1194.3963+389</f>
        <v>1583.3963000000001</v>
      </c>
      <c r="AR33" s="30">
        <v>-389</v>
      </c>
      <c r="AS33" s="30">
        <v>0</v>
      </c>
      <c r="AT33" s="19">
        <f>IF(K33&gt;0,K33,0)</f>
        <v>0</v>
      </c>
      <c r="AU33" s="19">
        <f>AJ33-AM33+AO33+AQ33+AT33+AS33+IF(AR33&lt;0,AR33,0)</f>
        <v>2908.0856400000002</v>
      </c>
      <c r="AV33" s="18">
        <f t="shared" si="19"/>
        <v>12.54788655456746</v>
      </c>
    </row>
    <row r="34" spans="2:48" ht="14.5" customHeight="1">
      <c r="B34" s="53"/>
      <c r="C34" s="23" t="s">
        <v>22</v>
      </c>
      <c r="D34" s="24">
        <f>(SUM(D29:D33))</f>
        <v>6052.1759999999995</v>
      </c>
      <c r="E34" s="5"/>
      <c r="F34" s="24">
        <f>(SUM(F29:F33))</f>
        <v>5400</v>
      </c>
      <c r="G34" s="5"/>
      <c r="H34" s="24">
        <f>(SUM(H29:H33))</f>
        <v>21390.278000000002</v>
      </c>
      <c r="I34" s="25">
        <f t="shared" si="15"/>
        <v>21.205871739354578</v>
      </c>
      <c r="J34" s="24">
        <f>(SUM(J29:J33))</f>
        <v>-0.37739999999939755</v>
      </c>
      <c r="K34" s="24">
        <f>(SUM(K29:K33))</f>
        <v>0</v>
      </c>
      <c r="L34" s="24">
        <f>(SUM(L29:L33))</f>
        <v>0</v>
      </c>
      <c r="M34" s="24">
        <f>(SUM(M29:M33))</f>
        <v>0</v>
      </c>
      <c r="N34" s="24">
        <f>H34+F34-D34+L34+M34+J34+IF(K34&lt;0,K34,0)</f>
        <v>20737.724600000001</v>
      </c>
      <c r="O34" s="25">
        <f t="shared" si="16"/>
        <v>18.535304154455172</v>
      </c>
      <c r="Q34" s="24">
        <f>(SUM(Q29:Q33))</f>
        <v>6712.9380000000001</v>
      </c>
      <c r="R34" s="15"/>
      <c r="S34" s="24">
        <f>(SUM(S29:S33))</f>
        <v>0</v>
      </c>
      <c r="T34" s="5"/>
      <c r="U34" s="24">
        <f>(SUM(U29:U33))</f>
        <v>-0.24899999999888678</v>
      </c>
      <c r="V34" s="24">
        <f>(SUM(V29:V33))</f>
        <v>-228</v>
      </c>
      <c r="W34" s="24">
        <f>(SUM(W29:W33))</f>
        <v>0</v>
      </c>
      <c r="X34" s="24">
        <f>(SUM(X29:X33))</f>
        <v>0</v>
      </c>
      <c r="Y34" s="24">
        <f>N34-Q34+S34+U34+X34+W34+IF(V34&lt;0,V34,0)</f>
        <v>13796.537600000003</v>
      </c>
      <c r="Z34" s="25">
        <f t="shared" si="17"/>
        <v>16.541599494515328</v>
      </c>
      <c r="AB34" s="24">
        <f>(SUM(AB29:AB33))</f>
        <v>5004.3060000000005</v>
      </c>
      <c r="AC34" s="5">
        <v>0</v>
      </c>
      <c r="AD34" s="24">
        <f>(SUM(AD29:AD33))</f>
        <v>10800</v>
      </c>
      <c r="AE34" s="8"/>
      <c r="AF34" s="24">
        <f>(SUM(AF29:AF33))</f>
        <v>0.30425999999806663</v>
      </c>
      <c r="AG34" s="24">
        <f>(SUM(AG29:AG33))</f>
        <v>-375</v>
      </c>
      <c r="AH34" s="24">
        <f>(SUM(AH29:AH33))</f>
        <v>0</v>
      </c>
      <c r="AI34" s="24">
        <f>(SUM(AI29:AI33))</f>
        <v>0</v>
      </c>
      <c r="AJ34" s="24">
        <f>Y34-AB34+AD34+AF34+AI34+AH34+IF(AG34&lt;0,AG34,0)</f>
        <v>19217.53586</v>
      </c>
      <c r="AK34" s="25">
        <f t="shared" si="18"/>
        <v>20.531818634426941</v>
      </c>
      <c r="AM34" s="24">
        <f>(SUM(AM29:AM33))</f>
        <v>5615.927999999999</v>
      </c>
      <c r="AN34" s="5"/>
      <c r="AO34" s="24">
        <f>(SUM(AO29:AO33))</f>
        <v>0</v>
      </c>
      <c r="AP34" s="8"/>
      <c r="AQ34" s="24">
        <f>(SUM(AQ29:AQ33))</f>
        <v>-0.0034000000016476406</v>
      </c>
      <c r="AR34" s="24">
        <f>(SUM(AR29:AR33))</f>
        <v>-389</v>
      </c>
      <c r="AS34" s="24">
        <f>(SUM(AS29:AS33))</f>
        <v>0</v>
      </c>
      <c r="AT34" s="24">
        <f>IF(K34&gt;0,K34,0)</f>
        <v>0</v>
      </c>
      <c r="AU34" s="24">
        <f>AJ34-AM34+AO34+AQ34+AT34+AS34+IF(AR34&lt;0,AR34,0)</f>
        <v>13212.604459999999</v>
      </c>
      <c r="AV34" s="25">
        <f t="shared" si="19"/>
        <v>14.116211383051921</v>
      </c>
    </row>
    <row r="35" spans="5:20" ht="14.5">
      <c r="E35" s="5"/>
      <c r="G35" s="5"/>
      <c r="T35" s="5"/>
    </row>
    <row r="37" spans="2:49" ht="23.5">
      <c r="B37" s="1"/>
      <c r="C37" s="43" t="s">
        <v>80</v>
      </c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2"/>
      <c r="Q37" s="43" t="s">
        <v>81</v>
      </c>
      <c r="R37" s="43"/>
      <c r="S37" s="43"/>
      <c r="T37" s="43"/>
      <c r="U37" s="43"/>
      <c r="V37" s="43"/>
      <c r="W37" s="43"/>
      <c r="X37" s="43"/>
      <c r="Y37" s="43"/>
      <c r="Z37" s="43"/>
      <c r="AA37" s="2"/>
      <c r="AB37" s="43" t="s">
        <v>82</v>
      </c>
      <c r="AC37" s="43"/>
      <c r="AD37" s="43"/>
      <c r="AE37" s="43"/>
      <c r="AF37" s="43"/>
      <c r="AG37" s="43"/>
      <c r="AH37" s="43"/>
      <c r="AI37" s="43"/>
      <c r="AJ37" s="43"/>
      <c r="AK37" s="43"/>
      <c r="AL37" s="2"/>
      <c r="AM37" s="43" t="s">
        <v>83</v>
      </c>
      <c r="AN37" s="43"/>
      <c r="AO37" s="43"/>
      <c r="AP37" s="43"/>
      <c r="AQ37" s="43"/>
      <c r="AR37" s="43"/>
      <c r="AS37" s="43"/>
      <c r="AT37" s="43"/>
      <c r="AU37" s="43"/>
      <c r="AV37" s="43"/>
      <c r="AW37" s="2"/>
    </row>
    <row r="38" spans="2:49" ht="18.5">
      <c r="B38" s="4"/>
      <c r="C38" s="44" t="s">
        <v>2</v>
      </c>
      <c r="D38" s="44"/>
      <c r="E38" s="5"/>
      <c r="F38" s="6" t="s">
        <v>3</v>
      </c>
      <c r="G38" s="5"/>
      <c r="H38" s="44" t="s">
        <v>4</v>
      </c>
      <c r="I38" s="44"/>
      <c r="J38" s="44"/>
      <c r="K38" s="44"/>
      <c r="L38" s="44"/>
      <c r="M38" s="44"/>
      <c r="N38" s="44"/>
      <c r="O38" s="6"/>
      <c r="Q38" s="6" t="s">
        <v>2</v>
      </c>
      <c r="R38" s="7"/>
      <c r="S38" s="6" t="s">
        <v>3</v>
      </c>
      <c r="T38" s="8"/>
      <c r="U38" s="44" t="s">
        <v>4</v>
      </c>
      <c r="V38" s="44"/>
      <c r="W38" s="44"/>
      <c r="X38" s="44"/>
      <c r="Y38" s="44"/>
      <c r="Z38" s="44"/>
      <c r="AA38" s="7"/>
      <c r="AB38" s="6" t="s">
        <v>2</v>
      </c>
      <c r="AC38" s="7"/>
      <c r="AD38" s="6" t="s">
        <v>3</v>
      </c>
      <c r="AE38" s="8"/>
      <c r="AF38" s="44" t="s">
        <v>4</v>
      </c>
      <c r="AG38" s="44"/>
      <c r="AH38" s="44"/>
      <c r="AI38" s="44"/>
      <c r="AJ38" s="44"/>
      <c r="AK38" s="44"/>
      <c r="AL38" s="3"/>
      <c r="AM38" s="6" t="s">
        <v>2</v>
      </c>
      <c r="AN38" s="7"/>
      <c r="AO38" s="6" t="s">
        <v>3</v>
      </c>
      <c r="AP38" s="8"/>
      <c r="AQ38" s="44" t="s">
        <v>4</v>
      </c>
      <c r="AR38" s="44"/>
      <c r="AS38" s="44"/>
      <c r="AT38" s="44"/>
      <c r="AU38" s="44"/>
      <c r="AV38" s="44"/>
      <c r="AW38" s="3"/>
    </row>
    <row r="39" spans="2:49" ht="29">
      <c r="B39" s="10"/>
      <c r="C39" s="11" t="s">
        <v>6</v>
      </c>
      <c r="D39" s="12" t="s">
        <v>2</v>
      </c>
      <c r="E39" s="5"/>
      <c r="F39" s="12" t="s">
        <v>8</v>
      </c>
      <c r="G39" s="5"/>
      <c r="H39" s="13" t="s">
        <v>51</v>
      </c>
      <c r="I39" s="14" t="s">
        <v>10</v>
      </c>
      <c r="J39" s="13" t="s">
        <v>90</v>
      </c>
      <c r="K39" s="13" t="s">
        <v>91</v>
      </c>
      <c r="L39" s="13" t="s">
        <v>92</v>
      </c>
      <c r="M39" s="13" t="s">
        <v>86</v>
      </c>
      <c r="N39" s="13" t="s">
        <v>52</v>
      </c>
      <c r="O39" s="14" t="s">
        <v>13</v>
      </c>
      <c r="Q39" s="12" t="s">
        <v>2</v>
      </c>
      <c r="R39" s="15"/>
      <c r="S39" s="13" t="s">
        <v>8</v>
      </c>
      <c r="T39" s="5"/>
      <c r="U39" s="13" t="s">
        <v>90</v>
      </c>
      <c r="V39" s="13" t="s">
        <v>91</v>
      </c>
      <c r="W39" s="13" t="s">
        <v>92</v>
      </c>
      <c r="X39" s="13" t="s">
        <v>86</v>
      </c>
      <c r="Y39" s="13" t="s">
        <v>52</v>
      </c>
      <c r="Z39" s="14" t="s">
        <v>13</v>
      </c>
      <c r="AB39" s="12" t="s">
        <v>2</v>
      </c>
      <c r="AC39" s="15"/>
      <c r="AD39" s="13" t="s">
        <v>8</v>
      </c>
      <c r="AE39" s="5"/>
      <c r="AF39" s="13" t="s">
        <v>90</v>
      </c>
      <c r="AG39" s="13" t="s">
        <v>91</v>
      </c>
      <c r="AH39" s="13" t="s">
        <v>92</v>
      </c>
      <c r="AI39" s="13" t="s">
        <v>86</v>
      </c>
      <c r="AJ39" s="13" t="s">
        <v>52</v>
      </c>
      <c r="AK39" s="14" t="s">
        <v>13</v>
      </c>
      <c r="AL39" s="3"/>
      <c r="AM39" s="12" t="s">
        <v>2</v>
      </c>
      <c r="AN39" s="15"/>
      <c r="AO39" s="13" t="s">
        <v>8</v>
      </c>
      <c r="AP39" s="5"/>
      <c r="AQ39" s="13" t="s">
        <v>90</v>
      </c>
      <c r="AR39" s="13" t="s">
        <v>91</v>
      </c>
      <c r="AS39" s="13" t="s">
        <v>92</v>
      </c>
      <c r="AT39" s="13" t="s">
        <v>86</v>
      </c>
      <c r="AU39" s="13" t="s">
        <v>52</v>
      </c>
      <c r="AV39" s="14" t="s">
        <v>13</v>
      </c>
      <c r="AW39" s="3"/>
    </row>
    <row r="40" spans="1:49" ht="14.5">
      <c r="A40" s="28">
        <v>65758</v>
      </c>
      <c r="B40" s="107" t="s">
        <v>74</v>
      </c>
      <c r="C40" s="16" t="s">
        <v>16</v>
      </c>
      <c r="D40" s="17">
        <v>7863.1739999999972</v>
      </c>
      <c r="E40" s="5"/>
      <c r="F40" s="17">
        <v>37800</v>
      </c>
      <c r="G40" s="5"/>
      <c r="H40" s="17">
        <v>30477.923999999995</v>
      </c>
      <c r="I40" s="18">
        <f>H40/(D40/6)</f>
        <v>23.256199595735772</v>
      </c>
      <c r="J40" s="30">
        <v>0</v>
      </c>
      <c r="K40" s="30">
        <v>-44421.18804000003</v>
      </c>
      <c r="L40" s="30">
        <v>0</v>
      </c>
      <c r="M40" s="19">
        <v>0</v>
      </c>
      <c r="N40" s="19">
        <f>H40+F40-D40+L40+M40+J40+IF(K40&lt;0,K40,0)</f>
        <v>15993.56195999997</v>
      </c>
      <c r="O40" s="18">
        <f>N40/(Q40/6)</f>
        <v>11.853246621576531</v>
      </c>
      <c r="P40" s="17"/>
      <c r="Q40" s="20">
        <v>8095.7879999999996</v>
      </c>
      <c r="R40" s="20"/>
      <c r="S40" s="17">
        <v>21600</v>
      </c>
      <c r="T40" s="19"/>
      <c r="U40" s="30">
        <v>0</v>
      </c>
      <c r="V40" s="30">
        <v>-22462.986239999998</v>
      </c>
      <c r="W40" s="30">
        <v>0</v>
      </c>
      <c r="X40" s="19">
        <v>0</v>
      </c>
      <c r="Y40" s="19">
        <f>N40-Q40+S40+U40+X40+W40+IF(V40&lt;0,V40,0)</f>
        <v>7034.7877199999712</v>
      </c>
      <c r="Z40" s="18">
        <f>Y40/(AB40/6)</f>
        <v>5.2136649724523201</v>
      </c>
      <c r="AA40" s="5"/>
      <c r="AB40" s="20">
        <v>8095.7879999999996</v>
      </c>
      <c r="AC40" s="20"/>
      <c r="AD40" s="17">
        <v>32400</v>
      </c>
      <c r="AE40" s="19"/>
      <c r="AF40" s="30">
        <v>0</v>
      </c>
      <c r="AG40" s="30">
        <v>-22462.986239999998</v>
      </c>
      <c r="AH40" s="30">
        <v>0</v>
      </c>
      <c r="AI40" s="19">
        <v>0</v>
      </c>
      <c r="AJ40" s="19">
        <f>Y40-AB40+AD40+AF40+AI40+AH40+IF(AG40&lt;0,AG40,0)</f>
        <v>8876.0134799999723</v>
      </c>
      <c r="AK40" s="18">
        <f>AJ40/(AM40/6)</f>
        <v>7.7027465335089556</v>
      </c>
      <c r="AL40" s="3"/>
      <c r="AM40" s="20">
        <v>6913.9080000000004</v>
      </c>
      <c r="AN40" s="20">
        <v>0</v>
      </c>
      <c r="AO40" s="17">
        <v>28980</v>
      </c>
      <c r="AP40" s="19"/>
      <c r="AQ40" s="30">
        <v>0</v>
      </c>
      <c r="AR40" s="30">
        <v>-22462.986239999998</v>
      </c>
      <c r="AS40" s="30">
        <v>0</v>
      </c>
      <c r="AT40" s="19">
        <f>IF(K40&gt;0,K40,0)</f>
        <v>0</v>
      </c>
      <c r="AU40" s="19">
        <f>AJ40-AM40+AO40+AQ40+AT40+AS40+IF(AR40&lt;0,AR40,0)</f>
        <v>8479.1192399999745</v>
      </c>
      <c r="AV40" s="18">
        <f>AU40/(AM40/6)</f>
        <v>7.358315360863906</v>
      </c>
      <c r="AW40" s="3"/>
    </row>
    <row r="41" spans="1:49" ht="14.5">
      <c r="A41" s="28">
        <v>70792</v>
      </c>
      <c r="B41" s="107" t="s">
        <v>75</v>
      </c>
      <c r="C41" s="16" t="s">
        <v>16</v>
      </c>
      <c r="D41" s="17">
        <v>4733.7480000000005</v>
      </c>
      <c r="E41" s="5"/>
      <c r="F41" s="17">
        <v>7200</v>
      </c>
      <c r="G41" s="5"/>
      <c r="H41" s="17">
        <v>33738.264000000003</v>
      </c>
      <c r="I41" s="18">
        <f>H41/(D41/6)</f>
        <v>42.763067235518243</v>
      </c>
      <c r="J41" s="30">
        <v>0</v>
      </c>
      <c r="K41" s="30">
        <v>-16866.101519999997</v>
      </c>
      <c r="L41" s="30">
        <v>0</v>
      </c>
      <c r="M41" s="19">
        <v>0</v>
      </c>
      <c r="N41" s="19">
        <f>H41+F41-D41+L41+M41+J41+IF(K41&lt;0,K41,0)</f>
        <v>19338.414480000007</v>
      </c>
      <c r="O41" s="18">
        <f>N41/(Q41/6)</f>
        <v>18.32194937270128</v>
      </c>
      <c r="P41" s="17"/>
      <c r="Q41" s="20">
        <v>6332.8680000000013</v>
      </c>
      <c r="R41" s="20"/>
      <c r="S41" s="17">
        <v>17280</v>
      </c>
      <c r="T41" s="19"/>
      <c r="U41" s="30">
        <v>0</v>
      </c>
      <c r="V41" s="30">
        <v>-10454.801939999996</v>
      </c>
      <c r="W41" s="30">
        <v>0</v>
      </c>
      <c r="X41" s="19">
        <v>0</v>
      </c>
      <c r="Y41" s="19">
        <f>N41-Q41+S41+U41+X41+W41+IF(V41&lt;0,V41,0)</f>
        <v>19830.744540000007</v>
      </c>
      <c r="Z41" s="18">
        <f>Y41/(AB41/6)</f>
        <v>18.788401596243599</v>
      </c>
      <c r="AA41" s="5"/>
      <c r="AB41" s="20">
        <v>6332.8680000000013</v>
      </c>
      <c r="AC41" s="20"/>
      <c r="AD41" s="17">
        <v>3600</v>
      </c>
      <c r="AE41" s="19"/>
      <c r="AF41" s="30">
        <v>0</v>
      </c>
      <c r="AG41" s="30">
        <v>-10454.801939999996</v>
      </c>
      <c r="AH41" s="30">
        <v>0</v>
      </c>
      <c r="AI41" s="19">
        <v>0</v>
      </c>
      <c r="AJ41" s="19">
        <f>Y41-AB41+AD41+AF41+AI41+AH41+IF(AG41&lt;0,AG41,0)</f>
        <v>6643.074600000009</v>
      </c>
      <c r="AK41" s="18">
        <f>AJ41/(AM41/6)</f>
        <v>7.3754902875110027</v>
      </c>
      <c r="AL41" s="3"/>
      <c r="AM41" s="20">
        <v>5404.1759999999995</v>
      </c>
      <c r="AN41" s="20">
        <v>0</v>
      </c>
      <c r="AO41" s="17">
        <v>13320</v>
      </c>
      <c r="AP41" s="19"/>
      <c r="AQ41" s="30">
        <v>0</v>
      </c>
      <c r="AR41" s="30">
        <v>-10454.801939999996</v>
      </c>
      <c r="AS41" s="30">
        <v>0</v>
      </c>
      <c r="AT41" s="19">
        <f>IF(K41&gt;0,K41,0)</f>
        <v>0</v>
      </c>
      <c r="AU41" s="19">
        <f>AJ41-AM41+AO41+AQ41+AT41+AS41+IF(AR41&lt;0,AR41,0)</f>
        <v>4104.0966600000138</v>
      </c>
      <c r="AV41" s="18">
        <f>AU41/(AM41/6)</f>
        <v>4.5565836419835488</v>
      </c>
      <c r="AW41" s="3"/>
    </row>
    <row r="42" spans="1:49" ht="14.5">
      <c r="A42" s="28">
        <v>83179</v>
      </c>
      <c r="B42" s="107" t="s">
        <v>76</v>
      </c>
      <c r="C42" s="16" t="s">
        <v>16</v>
      </c>
      <c r="D42" s="17">
        <v>3046.0680000000002</v>
      </c>
      <c r="E42" s="5"/>
      <c r="F42" s="17">
        <v>0</v>
      </c>
      <c r="G42" s="5"/>
      <c r="H42" s="17">
        <v>28796.094000000001</v>
      </c>
      <c r="I42" s="18">
        <f>H42/(D42/6)</f>
        <v>56.721177596823182</v>
      </c>
      <c r="J42" s="30">
        <v>0</v>
      </c>
      <c r="K42" s="30">
        <v>0</v>
      </c>
      <c r="L42" s="30">
        <v>0</v>
      </c>
      <c r="M42" s="19">
        <v>0</v>
      </c>
      <c r="N42" s="19">
        <f>H42+F42-D42+L42+M42+J42+IF(K42&lt;0,K42,0)</f>
        <v>25750.026000000002</v>
      </c>
      <c r="O42" s="18">
        <f>N42/(Q42/6)</f>
        <v>46.521674561793375</v>
      </c>
      <c r="P42" s="17"/>
      <c r="Q42" s="20">
        <v>3321.0359999999996</v>
      </c>
      <c r="R42" s="20"/>
      <c r="S42" s="17">
        <v>7200</v>
      </c>
      <c r="T42" s="19"/>
      <c r="U42" s="30">
        <v>0</v>
      </c>
      <c r="V42" s="30">
        <v>-3144.2956200000008</v>
      </c>
      <c r="W42" s="30">
        <v>0</v>
      </c>
      <c r="X42" s="19">
        <v>0</v>
      </c>
      <c r="Y42" s="19">
        <f>N42-Q42+S42+U42+X42+W42+IF(V42&lt;0,V42,0)</f>
        <v>26484.694380000001</v>
      </c>
      <c r="Z42" s="18">
        <f>Y42/(AB42/6)</f>
        <v>64.948328588139248</v>
      </c>
      <c r="AA42" s="5"/>
      <c r="AB42" s="20">
        <v>2446.6859999999992</v>
      </c>
      <c r="AC42" s="20"/>
      <c r="AD42" s="17">
        <v>7200</v>
      </c>
      <c r="AE42" s="19"/>
      <c r="AF42" s="30">
        <v>0</v>
      </c>
      <c r="AG42" s="30">
        <v>-2900.8015199999959</v>
      </c>
      <c r="AH42" s="30">
        <v>0</v>
      </c>
      <c r="AI42" s="19">
        <v>0</v>
      </c>
      <c r="AJ42" s="19">
        <f>Y42-AB42+AD42+AF42+AI42+AH42+IF(AG42&lt;0,AG42,0)</f>
        <v>28337.206860000006</v>
      </c>
      <c r="AK42" s="18">
        <f>AJ42/(AM42/6)</f>
        <v>60.695879941397223</v>
      </c>
      <c r="AL42" s="3"/>
      <c r="AM42" s="20">
        <v>2801.232</v>
      </c>
      <c r="AN42" s="20">
        <v>0</v>
      </c>
      <c r="AO42" s="17">
        <v>7200</v>
      </c>
      <c r="AP42" s="19"/>
      <c r="AQ42" s="30">
        <v>0</v>
      </c>
      <c r="AR42" s="30">
        <v>-2900.8015199999959</v>
      </c>
      <c r="AS42" s="30">
        <v>0</v>
      </c>
      <c r="AT42" s="19">
        <f>IF(K42&gt;0,K42,0)</f>
        <v>0</v>
      </c>
      <c r="AU42" s="19">
        <f>AJ42-AM42+AO42+AQ42+AT42+AS42+IF(AR42&lt;0,AR42,0)</f>
        <v>29835.173340000008</v>
      </c>
      <c r="AV42" s="18">
        <f>AU42/(AM42/6)</f>
        <v>63.904396365599155</v>
      </c>
      <c r="AW42" s="3"/>
    </row>
    <row r="43" spans="49:49" ht="14.5">
      <c r="AW43" s="3"/>
    </row>
    <row r="44" spans="25:49" ht="14.5">
      <c r="Y44" t="s">
        <v>84</v>
      </c>
      <c r="AW44" s="3"/>
    </row>
    <row r="47" spans="2:2" ht="29">
      <c r="B47" s="26" t="s">
        <v>59</v>
      </c>
    </row>
    <row r="49" spans="2:2" ht="14.5">
      <c r="B49" s="26" t="s">
        <v>71</v>
      </c>
    </row>
  </sheetData>
  <sheetProtection/>
  <mergeCells count="22">
    <mergeCell ref="AB37:AK37"/>
    <mergeCell ref="AM37:AV37"/>
    <mergeCell ref="C38:D38"/>
    <mergeCell ref="H38:N38"/>
    <mergeCell ref="U38:Z38"/>
    <mergeCell ref="AF38:AK38"/>
    <mergeCell ref="AQ38:AV38"/>
    <mergeCell ref="B5:B10"/>
    <mergeCell ref="B13:B18"/>
    <mergeCell ref="B21:B26"/>
    <mergeCell ref="B29:B34"/>
    <mergeCell ref="C37:O37"/>
    <mergeCell ref="Q37:Z37"/>
    <mergeCell ref="C2:O2"/>
    <mergeCell ref="Q2:Z2"/>
    <mergeCell ref="AB2:AK2"/>
    <mergeCell ref="AM2:AV2"/>
    <mergeCell ref="C3:D3"/>
    <mergeCell ref="H3:N3"/>
    <mergeCell ref="U3:Z3"/>
    <mergeCell ref="AF3:AK3"/>
    <mergeCell ref="AQ3:AV3"/>
  </mergeCells>
  <conditionalFormatting sqref="I5:I10 O5:O10 Z5:Z10 AK5:AK10 AV5:AV10">
    <cfRule type="cellIs" priority="26" dxfId="104" operator="greaterThan">
      <formula>40</formula>
    </cfRule>
    <cfRule type="cellIs" priority="27" dxfId="103" operator="between">
      <formula>10</formula>
      <formula>40</formula>
    </cfRule>
    <cfRule type="cellIs" priority="28" dxfId="102" operator="lessThan">
      <formula>0</formula>
    </cfRule>
    <cfRule type="cellIs" priority="29" dxfId="101" operator="between">
      <formula>0</formula>
      <formula>4</formula>
    </cfRule>
    <cfRule type="cellIs" priority="30" dxfId="100" operator="between">
      <formula>4</formula>
      <formula>10</formula>
    </cfRule>
  </conditionalFormatting>
  <conditionalFormatting sqref="I13:I17 O13:O17 Z13:Z17 AK13:AK17">
    <cfRule type="cellIs" priority="31" dxfId="104" operator="greaterThan">
      <formula>40</formula>
    </cfRule>
    <cfRule type="cellIs" priority="32" dxfId="103" operator="between">
      <formula>10</formula>
      <formula>40</formula>
    </cfRule>
    <cfRule type="cellIs" priority="33" dxfId="102" operator="lessThan">
      <formula>0</formula>
    </cfRule>
    <cfRule type="cellIs" priority="34" dxfId="101" operator="between">
      <formula>0</formula>
      <formula>4</formula>
    </cfRule>
    <cfRule type="cellIs" priority="35" dxfId="100" operator="between">
      <formula>4</formula>
      <formula>10</formula>
    </cfRule>
  </conditionalFormatting>
  <conditionalFormatting sqref="I21:I25 O21:O25 Z21:Z25 AK21:AK25 O40:O42 Z40:Z42 AK40:AK42 AV40:AV42">
    <cfRule type="cellIs" priority="41" dxfId="104" operator="greaterThan">
      <formula>40</formula>
    </cfRule>
    <cfRule type="cellIs" priority="42" dxfId="103" operator="between">
      <formula>10</formula>
      <formula>40</formula>
    </cfRule>
    <cfRule type="cellIs" priority="43" dxfId="102" operator="lessThan">
      <formula>0</formula>
    </cfRule>
    <cfRule type="cellIs" priority="44" dxfId="101" operator="between">
      <formula>0</formula>
      <formula>4</formula>
    </cfRule>
    <cfRule type="cellIs" priority="45" dxfId="100" operator="between">
      <formula>4</formula>
      <formula>10</formula>
    </cfRule>
  </conditionalFormatting>
  <conditionalFormatting sqref="I29:I33 O29:O33 Z29:Z33 AK29:AK33">
    <cfRule type="cellIs" priority="21" dxfId="104" operator="greaterThan">
      <formula>40</formula>
    </cfRule>
    <cfRule type="cellIs" priority="22" dxfId="103" operator="between">
      <formula>10</formula>
      <formula>40</formula>
    </cfRule>
    <cfRule type="cellIs" priority="23" dxfId="102" operator="lessThan">
      <formula>0</formula>
    </cfRule>
    <cfRule type="cellIs" priority="24" dxfId="101" operator="between">
      <formula>0</formula>
      <formula>4</formula>
    </cfRule>
    <cfRule type="cellIs" priority="25" dxfId="100" operator="between">
      <formula>4</formula>
      <formula>10</formula>
    </cfRule>
  </conditionalFormatting>
  <conditionalFormatting sqref="I40:I42">
    <cfRule type="cellIs" priority="36" dxfId="104" operator="greaterThan">
      <formula>40</formula>
    </cfRule>
    <cfRule type="cellIs" priority="37" dxfId="103" operator="between">
      <formula>10</formula>
      <formula>40</formula>
    </cfRule>
    <cfRule type="cellIs" priority="38" dxfId="102" operator="lessThan">
      <formula>0</formula>
    </cfRule>
    <cfRule type="cellIs" priority="39" dxfId="101" operator="between">
      <formula>0</formula>
      <formula>4</formula>
    </cfRule>
    <cfRule type="cellIs" priority="40" dxfId="100" operator="between">
      <formula>4</formula>
      <formula>10</formula>
    </cfRule>
  </conditionalFormatting>
  <conditionalFormatting sqref="AV13:AV17 AV21:AV25 AV29:AV33">
    <cfRule type="cellIs" priority="16" dxfId="104" operator="greaterThan">
      <formula>40</formula>
    </cfRule>
    <cfRule type="cellIs" priority="17" dxfId="103" operator="between">
      <formula>10</formula>
      <formula>40</formula>
    </cfRule>
    <cfRule type="cellIs" priority="18" dxfId="102" operator="lessThan">
      <formula>0</formula>
    </cfRule>
    <cfRule type="cellIs" priority="19" dxfId="101" operator="between">
      <formula>0</formula>
      <formula>4</formula>
    </cfRule>
    <cfRule type="cellIs" priority="20" dxfId="100" operator="between">
      <formula>4</formula>
      <formula>10</formula>
    </cfRule>
  </conditionalFormatting>
  <conditionalFormatting sqref="I18 O18 Z18 AK18 AV18">
    <cfRule type="cellIs" priority="11" dxfId="104" operator="greaterThan">
      <formula>40</formula>
    </cfRule>
    <cfRule type="cellIs" priority="12" dxfId="103" operator="between">
      <formula>10</formula>
      <formula>40</formula>
    </cfRule>
    <cfRule type="cellIs" priority="13" dxfId="102" operator="lessThan">
      <formula>0</formula>
    </cfRule>
    <cfRule type="cellIs" priority="14" dxfId="101" operator="between">
      <formula>0</formula>
      <formula>4</formula>
    </cfRule>
    <cfRule type="cellIs" priority="15" dxfId="100" operator="between">
      <formula>4</formula>
      <formula>10</formula>
    </cfRule>
  </conditionalFormatting>
  <conditionalFormatting sqref="I26 O26 Z26 AK26 AV26">
    <cfRule type="cellIs" priority="6" dxfId="104" operator="greaterThan">
      <formula>40</formula>
    </cfRule>
    <cfRule type="cellIs" priority="7" dxfId="103" operator="between">
      <formula>10</formula>
      <formula>40</formula>
    </cfRule>
    <cfRule type="cellIs" priority="8" dxfId="102" operator="lessThan">
      <formula>0</formula>
    </cfRule>
    <cfRule type="cellIs" priority="9" dxfId="101" operator="between">
      <formula>0</formula>
      <formula>4</formula>
    </cfRule>
    <cfRule type="cellIs" priority="10" dxfId="100" operator="between">
      <formula>4</formula>
      <formula>10</formula>
    </cfRule>
  </conditionalFormatting>
  <conditionalFormatting sqref="I34 O34 Z34 AK34 AV34">
    <cfRule type="cellIs" priority="1" dxfId="104" operator="greaterThan">
      <formula>40</formula>
    </cfRule>
    <cfRule type="cellIs" priority="2" dxfId="103" operator="between">
      <formula>10</formula>
      <formula>40</formula>
    </cfRule>
    <cfRule type="cellIs" priority="3" dxfId="102" operator="lessThan">
      <formula>0</formula>
    </cfRule>
    <cfRule type="cellIs" priority="4" dxfId="101" operator="between">
      <formula>0</formula>
      <formula>4</formula>
    </cfRule>
    <cfRule type="cellIs" priority="5" dxfId="100" operator="between">
      <formula>4</formula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Cenário atual BR</vt:lpstr>
      <vt:lpstr>Custos de transferência</vt:lpstr>
      <vt:lpstr>Produção PCP</vt:lpstr>
      <vt:lpstr>Transferências Programadas</vt:lpstr>
      <vt:lpstr>Cenário Divulgado</vt:lpstr>
      <vt:lpstr>Cenário com Nova Demanda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Moraes Caproni</dc:creator>
  <cp:keywords>ABClassification=Strictly Confidential</cp:keywords>
  <dc:description/>
  <cp:lastModifiedBy>PAULO HENRIQUE FRAGOSO FERREIRA</cp:lastModifiedBy>
  <dcterms:created xsi:type="dcterms:W3CDTF">2024-01-30T02:10:14Z</dcterms:created>
  <dcterms:modified xsi:type="dcterms:W3CDTF">2026-03-10T19:30:32Z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236da2d9-1b57-4573-acfc-ecb6e77a288c</vt:lpwstr>
  </property>
  <property fmtid="{D5CDD505-2E9C-101B-9397-08002B2CF9AE}" pid="3" name="MSIP_Label_e01cb8bb-2555-44e0-b0a8-75f202a8c9ca_Enabled">
    <vt:lpwstr>true</vt:lpwstr>
  </property>
  <property fmtid="{D5CDD505-2E9C-101B-9397-08002B2CF9AE}" pid="4" name="MSIP_Label_e01cb8bb-2555-44e0-b0a8-75f202a8c9ca_SetDate">
    <vt:lpwstr>2024-01-29T17:51:33Z</vt:lpwstr>
  </property>
  <property fmtid="{D5CDD505-2E9C-101B-9397-08002B2CF9AE}" pid="5" name="MSIP_Label_e01cb8bb-2555-44e0-b0a8-75f202a8c9ca_Method">
    <vt:lpwstr>Privileged</vt:lpwstr>
  </property>
  <property fmtid="{D5CDD505-2E9C-101B-9397-08002B2CF9AE}" pid="6" name="MSIP_Label_e01cb8bb-2555-44e0-b0a8-75f202a8c9ca_Name">
    <vt:lpwstr>ABI_Public_MIP</vt:lpwstr>
  </property>
  <property fmtid="{D5CDD505-2E9C-101B-9397-08002B2CF9AE}" pid="7" name="MSIP_Label_e01cb8bb-2555-44e0-b0a8-75f202a8c9ca_SiteId">
    <vt:lpwstr>cef04b19-7776-4a94-b89b-375c77a8f936</vt:lpwstr>
  </property>
  <property fmtid="{D5CDD505-2E9C-101B-9397-08002B2CF9AE}" pid="8" name="MSIP_Label_e01cb8bb-2555-44e0-b0a8-75f202a8c9ca_ActionId">
    <vt:lpwstr>a3442af8-17ed-4a1f-afe1-d8c0cef209b9</vt:lpwstr>
  </property>
  <property fmtid="{D5CDD505-2E9C-101B-9397-08002B2CF9AE}" pid="9" name="MSIP_Label_e01cb8bb-2555-44e0-b0a8-75f202a8c9ca_ContentBits">
    <vt:lpwstr>0</vt:lpwstr>
  </property>
  <property fmtid="{D5CDD505-2E9C-101B-9397-08002B2CF9AE}" pid="10" name="ABClassification">
    <vt:lpwstr>StrictlyConfidential</vt:lpwstr>
  </property>
</Properties>
</file>