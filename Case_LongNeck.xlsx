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peresiqueira/Documents/Case/"/>
    </mc:Choice>
  </mc:AlternateContent>
  <xr:revisionPtr revIDLastSave="0" documentId="8_{79AA16BF-2D8A-9540-9CAA-502895B7BA64}" xr6:coauthVersionLast="47" xr6:coauthVersionMax="47" xr10:uidLastSave="{00000000-0000-0000-0000-000000000000}"/>
  <bookViews>
    <workbookView xWindow="0" yWindow="500" windowWidth="23340" windowHeight="13940" tabRatio="500" firstSheet="1" activeTab="1" xr2:uid="{00000000-000D-0000-FFFF-FFFF00000000}"/>
  </bookViews>
  <sheets>
    <sheet name="Premissas &amp; Custos" sheetId="1" r:id="rId1"/>
    <sheet name="Produção PCP" sheetId="2" r:id="rId2"/>
    <sheet name="Análise Demanda &amp; Bias" sheetId="3" r:id="rId3"/>
    <sheet name="Plano Produção &amp; Transferência" sheetId="4" r:id="rId4"/>
    <sheet name="Análise de Custos" sheetId="5" r:id="rId5"/>
    <sheet name="Análise de Riscos" sheetId="6" r:id="rId6"/>
    <sheet name="Recomendação Executiv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5" l="1"/>
  <c r="E26" i="5" s="1"/>
  <c r="C25" i="5"/>
  <c r="E25" i="5" s="1"/>
  <c r="C24" i="5"/>
  <c r="E24" i="5" s="1"/>
  <c r="E23" i="5"/>
  <c r="C23" i="5"/>
  <c r="E22" i="5"/>
  <c r="C22" i="5"/>
  <c r="E21" i="5"/>
  <c r="C21" i="5"/>
  <c r="C20" i="5"/>
  <c r="E20" i="5" s="1"/>
  <c r="E19" i="5"/>
  <c r="C19" i="5"/>
  <c r="E18" i="5"/>
  <c r="C18" i="5"/>
  <c r="G14" i="5"/>
  <c r="F14" i="5"/>
  <c r="F13" i="5"/>
  <c r="G13" i="5" s="1"/>
  <c r="G12" i="5"/>
  <c r="F12" i="5"/>
  <c r="G7" i="5"/>
  <c r="E6" i="5"/>
  <c r="E8" i="5" s="1"/>
  <c r="C18" i="4"/>
  <c r="C13" i="4"/>
  <c r="H9" i="4"/>
  <c r="G9" i="4"/>
  <c r="F9" i="4"/>
  <c r="E9" i="4"/>
  <c r="I9" i="4" s="1"/>
  <c r="C15" i="4" s="1"/>
  <c r="I8" i="4"/>
  <c r="I7" i="4"/>
  <c r="I6" i="4"/>
  <c r="E8" i="3"/>
  <c r="I8" i="3" s="1"/>
  <c r="E7" i="3"/>
  <c r="I7" i="3" s="1"/>
  <c r="I6" i="3"/>
  <c r="E6" i="3"/>
  <c r="G6" i="3" s="1"/>
  <c r="G23" i="2"/>
  <c r="F23" i="2"/>
  <c r="E23" i="2"/>
  <c r="D23" i="2"/>
  <c r="D25" i="2" s="1"/>
  <c r="F19" i="2"/>
  <c r="F24" i="2" s="1"/>
  <c r="E19" i="2"/>
  <c r="E24" i="2" s="1"/>
  <c r="D19" i="2"/>
  <c r="D24" i="2" s="1"/>
  <c r="C19" i="2"/>
  <c r="C24" i="2" s="1"/>
  <c r="G18" i="2"/>
  <c r="G17" i="2"/>
  <c r="G16" i="2"/>
  <c r="G15" i="2"/>
  <c r="G14" i="2"/>
  <c r="G13" i="2"/>
  <c r="G19" i="2" s="1"/>
  <c r="F9" i="2"/>
  <c r="E9" i="2"/>
  <c r="D9" i="2"/>
  <c r="C9" i="2"/>
  <c r="C23" i="2" s="1"/>
  <c r="C25" i="2" s="1"/>
  <c r="G8" i="2"/>
  <c r="G7" i="2"/>
  <c r="G6" i="2"/>
  <c r="F25" i="2" l="1"/>
  <c r="E25" i="2"/>
  <c r="C14" i="4"/>
  <c r="G24" i="2"/>
  <c r="C16" i="4"/>
  <c r="C19" i="4" s="1"/>
  <c r="G25" i="2"/>
  <c r="G8" i="3"/>
  <c r="G6" i="5"/>
  <c r="G8" i="5" s="1"/>
  <c r="G7" i="3"/>
  <c r="E27" i="5" l="1"/>
  <c r="E28" i="5" s="1"/>
  <c r="C27" i="5"/>
</calcChain>
</file>

<file path=xl/sharedStrings.xml><?xml version="1.0" encoding="utf-8"?>
<sst xmlns="http://schemas.openxmlformats.org/spreadsheetml/2006/main" count="404" uniqueCount="284">
  <si>
    <t>AMBEV – CASE LONG NECK NORDESTE | Premissas &amp; Estrutura de Custos</t>
  </si>
  <si>
    <t>1. CUSTO DE TRANSFERÊNCIA (ex-SP → NE)  [R$/HL]</t>
  </si>
  <si>
    <t>SKU</t>
  </si>
  <si>
    <t>Origem</t>
  </si>
  <si>
    <t>Destino</t>
  </si>
  <si>
    <t>Modal</t>
  </si>
  <si>
    <t>R$/HL</t>
  </si>
  <si>
    <t>Colorado Lager LN 355ml</t>
  </si>
  <si>
    <t>F. Jacareí (SP)</t>
  </si>
  <si>
    <t>F. Camaçari (BA)</t>
  </si>
  <si>
    <t>Cabotagem</t>
  </si>
  <si>
    <t>F. Fonte Mata (PB)</t>
  </si>
  <si>
    <t>Goose Island Midway LN 355ml</t>
  </si>
  <si>
    <t>Malzbier Brahma LN 355ml</t>
  </si>
  <si>
    <t>F. Jaguariúna (SP)</t>
  </si>
  <si>
    <t>2. MACO – PRODUÇÃO INTERNA NO NENO  [R$/HL]</t>
  </si>
  <si>
    <t>MACO (R$/HL)</t>
  </si>
  <si>
    <t>3. CUSTO DE PRODUÇÃO (VARIÁVEL) ex-SP  [R$/HL]</t>
  </si>
  <si>
    <t>Custo Prod. (R$/HL)</t>
  </si>
  <si>
    <t>4. CAPACIDADE PRODUTIVA NENO  [HL/semana]</t>
  </si>
  <si>
    <t>Planta</t>
  </si>
  <si>
    <t>Linha</t>
  </si>
  <si>
    <t>Cap. Semanal (HL)</t>
  </si>
  <si>
    <t>Cap. Mensal (HL)</t>
  </si>
  <si>
    <t>F. Aquiraz – CE (AQ541)</t>
  </si>
  <si>
    <t>L541</t>
  </si>
  <si>
    <t>F. Pernambuco – PE (NS541)</t>
  </si>
  <si>
    <t>NOTA: Goose Island Midway está no TETO de capacidade de elaboração de líquido em PE541. Não é viável aumentar sua produção interna.</t>
  </si>
  <si>
    <t>5. PARÂMETROS LOGÍSTICOS</t>
  </si>
  <si>
    <t>Parâmetro</t>
  </si>
  <si>
    <t>Valor</t>
  </si>
  <si>
    <t>Lead time cabotagem (SP→NE)</t>
  </si>
  <si>
    <t>25 dias</t>
  </si>
  <si>
    <t>Lead time rodoviário (SP→NE)</t>
  </si>
  <si>
    <t>6 dias</t>
  </si>
  <si>
    <t>Sobrecusto rodoviário vs. cabotagem</t>
  </si>
  <si>
    <t>+60%</t>
  </si>
  <si>
    <t>Risco de avaria rodoviário adicional</t>
  </si>
  <si>
    <t>+5%</t>
  </si>
  <si>
    <t>DOI mínimo exigido NENO</t>
  </si>
  <si>
    <t>12 dias</t>
  </si>
  <si>
    <t>Bias histórico de demanda GEOs NENO (3 meses)</t>
  </si>
  <si>
    <t>+9%</t>
  </si>
  <si>
    <t>PRODUÇÃO PCP – SUGESTÃO DAS CERVEJARIAS NENO  [HL/semana]</t>
  </si>
  <si>
    <t>AQ541 – F. AQUIRAZ (CE) | Cap. = 12.600 HL/semana | 50.400 HL/mês</t>
  </si>
  <si>
    <t>W0 – 02/02</t>
  </si>
  <si>
    <t>W1 – 09/02</t>
  </si>
  <si>
    <t>W2 – 16/02</t>
  </si>
  <si>
    <t>W3 – 23/02</t>
  </si>
  <si>
    <t>TOTAL MÊS</t>
  </si>
  <si>
    <t>Patagonia Amber Lager LN 355ml</t>
  </si>
  <si>
    <t>TOTAL AQ541</t>
  </si>
  <si>
    <t>NS541 – F. PERNAMBUCO (PE) | Cap. = 27.000 HL/semana | 108.000 HL/mês</t>
  </si>
  <si>
    <t>Brahma Chopp Zero LN 355ml</t>
  </si>
  <si>
    <t>Skol Beats Senses LN 269ml</t>
  </si>
  <si>
    <t>Budweiser Zero LN 330ml</t>
  </si>
  <si>
    <t>TOTAL NS541</t>
  </si>
  <si>
    <t>RESUMO CAPACIDADE TOTAL NENO</t>
  </si>
  <si>
    <t>Cervejaria</t>
  </si>
  <si>
    <t>AQ541</t>
  </si>
  <si>
    <t>NS541</t>
  </si>
  <si>
    <t>TOTAL NENO</t>
  </si>
  <si>
    <t>ANÁLISE DE DEMANDA – IMPACTO DOS INCENTIVOS COMERCIAIS &amp; BIAS</t>
  </si>
  <si>
    <t>CENÁRIO DE DEMANDA MENSAL NENO  [KHL]</t>
  </si>
  <si>
    <t>Mês</t>
  </si>
  <si>
    <t>Demanda Base (KHL)</t>
  </si>
  <si>
    <t>Ajuste Incentivo</t>
  </si>
  <si>
    <t>Demanda Consenso (KHL)</t>
  </si>
  <si>
    <t>Fator Bias (-9%)</t>
  </si>
  <si>
    <t>Demanda Corrigida (KHL)</t>
  </si>
  <si>
    <t>Cap. Local (KHL)</t>
  </si>
  <si>
    <t>Gap ex-NE (KHL)</t>
  </si>
  <si>
    <t>Situação</t>
  </si>
  <si>
    <t>Janeiro/26</t>
  </si>
  <si>
    <t>⚠ GAP – necessário ex-NE</t>
  </si>
  <si>
    <t>Fevereiro/26</t>
  </si>
  <si>
    <t>Março/26</t>
  </si>
  <si>
    <t>⚠  ATENÇÃO – BIAS: O time de GEOs do NENO apresenta bias médio de +9% nos últimos 3 meses.  Recomenda-se ajustar a demanda consensuada multiplicando por (1 - 9%) = 0,91 para o planejamento de produção/transferência, evitando sobrestoque e custo logístico desnecessário.</t>
  </si>
  <si>
    <t>DETALHAMENTO – INCREMENTO MALZBIER BRAHMA (+30% em FEV/26)</t>
  </si>
  <si>
    <t>Item</t>
  </si>
  <si>
    <t>Obs.</t>
  </si>
  <si>
    <t>Demanda base Malzbier Fev/26 (estimada ~10% da demanda total)</t>
  </si>
  <si>
    <t>~18 KHL</t>
  </si>
  <si>
    <t>Proporção histórica</t>
  </si>
  <si>
    <t>Aumento solicitado (+30%)</t>
  </si>
  <si>
    <t>~5,4 KHL</t>
  </si>
  <si>
    <t>Incentivo comercial</t>
  </si>
  <si>
    <t>NS541 produz Malzbier – capacidade disponível W0</t>
  </si>
  <si>
    <t>16.200 HL</t>
  </si>
  <si>
    <t>Semana 02/02 livre</t>
  </si>
  <si>
    <t>NS541 produz Malzbier – W1, W2, W3</t>
  </si>
  <si>
    <t>0 HL</t>
  </si>
  <si>
    <t>PCP alocado p/ Goose</t>
  </si>
  <si>
    <t>AQ541 produz Malzbier – apenas W1</t>
  </si>
  <si>
    <t>9.000 HL</t>
  </si>
  <si>
    <t>PCP sugerido</t>
  </si>
  <si>
    <t>Produção Malzbier NENO/mês (cenário PCP)</t>
  </si>
  <si>
    <t>25.200 HL</t>
  </si>
  <si>
    <t>AQ W1 + NS W0</t>
  </si>
  <si>
    <t>Demanda Malzbier c/ incentivo (estimada)</t>
  </si>
  <si>
    <t>~23.400 HL</t>
  </si>
  <si>
    <t>18k × 1,30</t>
  </si>
  <si>
    <t>Resultado: NENO produz acima da demanda de Malzbier</t>
  </si>
  <si>
    <t>✓ OK</t>
  </si>
  <si>
    <t>Sem necessidade de ex-NE para Malzbier</t>
  </si>
  <si>
    <t>PLANO DE PRODUÇÃO E TRANSFERÊNCIA – FEVEREIRO 2026  [HL]</t>
  </si>
  <si>
    <t>TRANSFERÊNCIAS JÁ PROGRAMADAS (ex-SP → NE) – GOOSE ISLAND MIDWAY | Modal: Cabotagem</t>
  </si>
  <si>
    <t>TOTAL MÊS (HL)</t>
  </si>
  <si>
    <t>REG SE (SP)</t>
  </si>
  <si>
    <t>CDR Bahia</t>
  </si>
  <si>
    <t>TOTAL</t>
  </si>
  <si>
    <t>BALANÇO MENSAL OFERTA × DEMANDA – FEVEREIRO 2026  [HL]</t>
  </si>
  <si>
    <t>Fonte</t>
  </si>
  <si>
    <t>Volume (HL)</t>
  </si>
  <si>
    <t>% do Total</t>
  </si>
  <si>
    <t>Observação</t>
  </si>
  <si>
    <t>Produção AQ541 (Aquiraz/CE)</t>
  </si>
  <si>
    <t>Malzbier + Patagonia + Colorado</t>
  </si>
  <si>
    <t>Produção NS541 (Pernambuco/PE)</t>
  </si>
  <si>
    <t>Goose, Brahma Zero, Skol Beats, Bud Zero</t>
  </si>
  <si>
    <t>Transferência Goose Island ex-SP</t>
  </si>
  <si>
    <t>Cabotagem já programada (lead 25d)</t>
  </si>
  <si>
    <t>TOTAL OFERTA</t>
  </si>
  <si>
    <t>Demanda Consenso Fev/26</t>
  </si>
  <si>
    <t>Com incentivo Malzbier +30%</t>
  </si>
  <si>
    <t>Demanda Corrigida (bias -9%)</t>
  </si>
  <si>
    <t>Recomendada para planejamento de produção</t>
  </si>
  <si>
    <t>GAP (Oferta - Demanda Consenso)</t>
  </si>
  <si>
    <t>Positivo = sobra | Negativo = ruptura</t>
  </si>
  <si>
    <t>AÇÃO URGENTE – PLANEJAMENTO DE TRANSFERÊNCIAS FUTURAS</t>
  </si>
  <si>
    <t>Mês referência</t>
  </si>
  <si>
    <t>Fev/26</t>
  </si>
  <si>
    <t>Mar/26</t>
  </si>
  <si>
    <t>Demanda estimada (KHL)</t>
  </si>
  <si>
    <t>192</t>
  </si>
  <si>
    <t>211</t>
  </si>
  <si>
    <t>Capacidade local (KHL)</t>
  </si>
  <si>
    <t>158,4</t>
  </si>
  <si>
    <t>Gap ex-NE necessário (KHL)</t>
  </si>
  <si>
    <t>~33,6</t>
  </si>
  <si>
    <t>~52,6</t>
  </si>
  <si>
    <t>Embarque cabotagem deve ocorrer até:</t>
  </si>
  <si>
    <t>~08 Jan/26 (já deve estar em trânsito)</t>
  </si>
  <si>
    <t>~05 Fev/26</t>
  </si>
  <si>
    <t>Alternativa se atraso:</t>
  </si>
  <si>
    <t>Rodoviário +60% custo | +5% avaria</t>
  </si>
  <si>
    <t>Rodoviário ou ruptura</t>
  </si>
  <si>
    <t>ANÁLISE DE CUSTOS – OPERAÇÃO FEVEREIRO 2026  [R$]</t>
  </si>
  <si>
    <t>CUSTO DE TRANSFERÊNCIA EX-NE (SP → NE) – GOOSE ISLAND MIDWAY</t>
  </si>
  <si>
    <t>Origem → Destino</t>
  </si>
  <si>
    <t>Volume/mês (HL)</t>
  </si>
  <si>
    <t>Custo Total (R$)</t>
  </si>
  <si>
    <t>Jacareí → Camaçari (BA)</t>
  </si>
  <si>
    <t>Jacareí → Fonte Mata (PB)</t>
  </si>
  <si>
    <t>TOTAL GOOSE ISLAND</t>
  </si>
  <si>
    <t>ANÁLISE DE RENTABILIDADE – PRODUÇÃO LOCAL vs. TRANSFERÊNCIA ex-NE</t>
  </si>
  <si>
    <t>MACO Produção
Local (R$/HL)</t>
  </si>
  <si>
    <t>Custo Prod.
ex-SP (R$/HL)</t>
  </si>
  <si>
    <t>Custo Transf.
médio (R$/HL)</t>
  </si>
  <si>
    <t>Custo Total
ex-SP (R$/HL)</t>
  </si>
  <si>
    <t>Delta MACO
(Local - ex-SP)</t>
  </si>
  <si>
    <t>Recomendação</t>
  </si>
  <si>
    <t>✓ Priorizar produção local</t>
  </si>
  <si>
    <t>CUSTO TOTAL DA OPERAÇÃO – FEVEREIRO 2026</t>
  </si>
  <si>
    <t>Item de Custo</t>
  </si>
  <si>
    <t>Total (R$)</t>
  </si>
  <si>
    <t>Produção AQ541 – Colorado Lager</t>
  </si>
  <si>
    <t>Produção AQ541 – Patagonia Amber</t>
  </si>
  <si>
    <t>Produção AQ541 – Malzbier Brahma</t>
  </si>
  <si>
    <t>Produção NS541 – Goose Island</t>
  </si>
  <si>
    <t>Produção NS541 – Malzbier Brahma</t>
  </si>
  <si>
    <t>Produção NS541 – Colorado Lager</t>
  </si>
  <si>
    <t>Produção NS541 – Skol Beats</t>
  </si>
  <si>
    <t>Produção NS541 – Brahma Chopp Zero</t>
  </si>
  <si>
    <t>Produção NS541 – Budweiser Zero</t>
  </si>
  <si>
    <t>Transferência Goose Island (cabotagem)</t>
  </si>
  <si>
    <t>TOTAL CUSTOS OPERACIONAIS</t>
  </si>
  <si>
    <t>MATRIZ DE RISCOS – CASE LONG NECK NENO</t>
  </si>
  <si>
    <t>#</t>
  </si>
  <si>
    <t>Risco</t>
  </si>
  <si>
    <t>Probabilidade</t>
  </si>
  <si>
    <t>Impacto</t>
  </si>
  <si>
    <t>Severidade</t>
  </si>
  <si>
    <t>Mitigação</t>
  </si>
  <si>
    <t>Responsável</t>
  </si>
  <si>
    <t>Bias de demanda (+9%) gera sobrestoque</t>
  </si>
  <si>
    <t>ALTA</t>
  </si>
  <si>
    <t>MÉDIO</t>
  </si>
  <si>
    <t>🟠 ALTO</t>
  </si>
  <si>
    <t>Aplicar fator de correção (×0,91) na demanda consensuada ao planejar produção e transferências</t>
  </si>
  <si>
    <t>Planejamento</t>
  </si>
  <si>
    <t>Lead time cabotagem (25d): falta de antecedência causa ruptura</t>
  </si>
  <si>
    <t>ALTO</t>
  </si>
  <si>
    <t>🔴 CRÍTICO</t>
  </si>
  <si>
    <t>Garantir que embarques ex-SP estejam programados com ≥25d de antecedência; monitorar trânsito semanalmente</t>
  </si>
  <si>
    <t>Logística / Control Tower</t>
  </si>
  <si>
    <t>Goose Island no teto de elaboração (PE541)</t>
  </si>
  <si>
    <t>CERTEZA</t>
  </si>
  <si>
    <t>Não aumentar produção interna de Goose Island; manter transferência ex-SP programada (12.600–16.707 HL/semana)</t>
  </si>
  <si>
    <t>PCP / Planejamento</t>
  </si>
  <si>
    <t>DOI abaixo de 12 dias em Mapapi / NO Centro</t>
  </si>
  <si>
    <t>Monitorar suficiência semanalmente via WSNP; acionar rodoviário se DOI cair &lt; 10d</t>
  </si>
  <si>
    <t>Control Tower</t>
  </si>
  <si>
    <t>Capacidade local &lt; demanda crescente (mar + 10%/mês)</t>
  </si>
  <si>
    <t>Decisão estrutural urgente: nova linha produtiva ou transferência de linha para NENO</t>
  </si>
  <si>
    <t>Diretoria Logística</t>
  </si>
  <si>
    <t>Custo rodoviário +60% em emergências</t>
  </si>
  <si>
    <t>Usar rodoviário apenas como plano B; priorizar cabotagem bem planejada; manter buffer de estoque</t>
  </si>
  <si>
    <t>Logística</t>
  </si>
  <si>
    <t>Avaria no rodoviário (+5% de perda)</t>
  </si>
  <si>
    <t>BAIXO</t>
  </si>
  <si>
    <t>🟡 MÉDIO</t>
  </si>
  <si>
    <t>Seguro de carga; embalagem reforçada; evitar modal rodoviário para LN sempre que possível</t>
  </si>
  <si>
    <t>Incentivos comerciais não convertem em venda real (bias)</t>
  </si>
  <si>
    <t>Vincular incentivo a sell-out comprovado; revisar bias mensalmente com time de GEOs</t>
  </si>
  <si>
    <t>Comercial / GEOs</t>
  </si>
  <si>
    <t>RECOMENDAÇÃO EXECUTIVA – VP DE VENDAS &amp; VP DE LOGÍSTICA</t>
  </si>
  <si>
    <t>❓ PERGUNTA 1: DEVEMOS SEGUIR COM OS INCENTIVOS COMERCIAIS?</t>
  </si>
  <si>
    <t>✅  RECOMENDAÇÃO: SIM, com duas condições</t>
  </si>
  <si>
    <t>Condição 1</t>
  </si>
  <si>
    <t>Aplicar desconto de bias (-9%) ao planejar produção. A demanda de Fev real esperada é ~175 KHL, não 192 KHL. Usar 192 KHL para garantir nível de serviço, mas produzir/transferir para ~175 KHL evita sobrestoque.</t>
  </si>
  <si>
    <t>Condição 2</t>
  </si>
  <si>
    <t>Vincular o incentivo de Malzbier a sell-out real. Monitorar semanalmente via WSNP e ajustar se bias se confirmar.</t>
  </si>
  <si>
    <t>Justificativa</t>
  </si>
  <si>
    <t>O MACO da produção local de Malzbier (R$285/HL) é positivo e superior ao custo total de produção ex-SP (R$149 + ~R$90 frete = R$239/HL). Há capacidade produtiva disponível em AQ541 (W1: 9.000 HL) e NS541 (W0: 16.200 HL) para absorver o incremento de ~5.400 HL de Malzbier.</t>
  </si>
  <si>
    <t>❓ PERGUNTA 2: QUAL O PLANO DE PRODUÇÃO E TRANSFERÊNCIA?</t>
  </si>
  <si>
    <t>✅  PLANO RECOMENDADO PARA FEVEREIRO/26</t>
  </si>
  <si>
    <t>Ação</t>
  </si>
  <si>
    <t>Cervejaria / Origem</t>
  </si>
  <si>
    <t>SKU / Produto</t>
  </si>
  <si>
    <t>Prazo / Obs.</t>
  </si>
  <si>
    <t>Produzir</t>
  </si>
  <si>
    <t>AQ541 – Aquiraz (CE)</t>
  </si>
  <si>
    <t>Malzbier Brahma (W1)</t>
  </si>
  <si>
    <t>Local</t>
  </si>
  <si>
    <t>Saturar AQ em W1</t>
  </si>
  <si>
    <t>Patagonia Amber + Colorado</t>
  </si>
  <si>
    <t>Demais semanas</t>
  </si>
  <si>
    <t>NS541 – Pernambuco (PE)</t>
  </si>
  <si>
    <t>Goose Island Midway (conforme PCP)</t>
  </si>
  <si>
    <t>Teto de elaboração</t>
  </si>
  <si>
    <t>Malzbier Brahma (W0)</t>
  </si>
  <si>
    <t>Saturar NS em W0</t>
  </si>
  <si>
    <t>Demais SKUs (PCP)</t>
  </si>
  <si>
    <t>Brahma Zero, Skol, Bud Zero</t>
  </si>
  <si>
    <t>Transferir</t>
  </si>
  <si>
    <t>REG SE – SP</t>
  </si>
  <si>
    <t>Goose Island Midway (programado)</t>
  </si>
  <si>
    <t>URGENTE: embarque deve ocorrer ~08/Jan</t>
  </si>
  <si>
    <t>Monitorar</t>
  </si>
  <si>
    <t>DOI por GEO (mín. 12 dias)</t>
  </si>
  <si>
    <t>—</t>
  </si>
  <si>
    <t>Acionar rodo se DOI &lt; 10d</t>
  </si>
  <si>
    <t>Não fazer</t>
  </si>
  <si>
    <t>Aumentar produção Goose Island PE</t>
  </si>
  <si>
    <t>⚠ Restrição de brassagem</t>
  </si>
  <si>
    <t>❓ PERGUNTA 3: QUANTO VAI CUSTAR A OPERAÇÃO?</t>
  </si>
  <si>
    <t>✅  RESUMO DE CUSTOS</t>
  </si>
  <si>
    <t>Valor Estimado</t>
  </si>
  <si>
    <t>Custo produção local NENO (aprox.)</t>
  </si>
  <si>
    <t>~R$ 20–22 milhões/mês</t>
  </si>
  <si>
    <t>Produção a custo variável médio ~R$150/HL</t>
  </si>
  <si>
    <t>Custo transferência Goose Island (cabotagem)</t>
  </si>
  <si>
    <t>~R$ 4,4 milhões/mês</t>
  </si>
  <si>
    <t>53.907 HL × ~R$82/HL médio</t>
  </si>
  <si>
    <t>CUSTO TOTAL ESTIMADO FEV/26</t>
  </si>
  <si>
    <t>~R$ 24–26 milhões</t>
  </si>
  <si>
    <t>Produção + transferência ex-NE</t>
  </si>
  <si>
    <t>Custo incremental do incentivo Malzbier</t>
  </si>
  <si>
    <t>~R$ 0 adicional</t>
  </si>
  <si>
    <t>Produção já caberia na AQ541 e NS541 existentes</t>
  </si>
  <si>
    <t>Custo se usar rodoviário (emergência)</t>
  </si>
  <si>
    <t>+60% sobre cabotagem</t>
  </si>
  <si>
    <t>Evitar – usar só como plano B</t>
  </si>
  <si>
    <t>❓ PERGUNTA 4: QUAIS OS RISCOS ENVOLVIDOS?  →  Ver aba 'Análise de Riscos' para matriz completa</t>
  </si>
  <si>
    <t>🔴 TOP 3 RISCOS CRÍTICOS</t>
  </si>
  <si>
    <t>Nível</t>
  </si>
  <si>
    <t>Consequência</t>
  </si>
  <si>
    <t>Goose Island no teto de PE541</t>
  </si>
  <si>
    <t>Qualquer aumento de demanda de Goose só pode ser atendido por ex-SP. Lead time 25d = sem margem de erro.</t>
  </si>
  <si>
    <t>Lead time cabotagem + bias de demanda</t>
  </si>
  <si>
    <t>Se bias se confirmar e embarques foram feitos sobre demanda inflada, haverá sobrestoque caro no NENO.</t>
  </si>
  <si>
    <t>Gap estrutural crescente (Mar +10%/mês)</t>
  </si>
  <si>
    <t>A decisão de nova linha produtiva ou transferência de linha para NENO é urgente – sem ela, rutura em 2-3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</si>
</sst>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7F6000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C00000"/>
      <name val="Arial"/>
      <family val="2"/>
    </font>
    <font>
      <i/>
      <sz val="9"/>
      <name val="Arial"/>
      <family val="2"/>
    </font>
    <font>
      <sz val="10"/>
      <color rgb="FF375623"/>
      <name val="Arial"/>
      <family val="2"/>
    </font>
    <font>
      <b/>
      <sz val="10"/>
      <color rgb="FF1A523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1F497D"/>
        <bgColor rgb="FF1F3864"/>
      </patternFill>
    </fill>
    <fill>
      <patternFill patternType="solid">
        <fgColor rgb="FFFFD966"/>
        <bgColor rgb="FFFFCC0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2" fillId="9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3" fontId="7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3" fontId="8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8" fillId="8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center" vertical="center"/>
    </xf>
    <xf numFmtId="9" fontId="7" fillId="9" borderId="1" xfId="0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8" fillId="10" borderId="1" xfId="0" applyFont="1" applyFill="1" applyBorder="1" applyAlignment="1">
      <alignment horizontal="left" vertical="center"/>
    </xf>
    <xf numFmtId="9" fontId="7" fillId="10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left" vertical="center"/>
    </xf>
    <xf numFmtId="3" fontId="7" fillId="8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164" fontId="7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1F497D"/>
      <rgbColor rgb="FF1A52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9"/>
  <sheetViews>
    <sheetView showGridLines="0" zoomScale="108" zoomScaleNormal="100" workbookViewId="0">
      <selection activeCell="D36" sqref="D36"/>
    </sheetView>
  </sheetViews>
  <sheetFormatPr baseColWidth="10" defaultColWidth="8.6640625" defaultRowHeight="15" x14ac:dyDescent="0.2"/>
  <cols>
    <col min="2" max="2" width="42" customWidth="1"/>
    <col min="3" max="4" width="28" customWidth="1"/>
    <col min="5" max="5" width="22" customWidth="1"/>
    <col min="6" max="6" width="12" customWidth="1"/>
  </cols>
  <sheetData>
    <row r="2" spans="2:12" ht="15.75" customHeight="1" x14ac:dyDescent="0.2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ht="15" customHeight="1" x14ac:dyDescent="0.2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2:12" ht="15" customHeight="1" x14ac:dyDescent="0.2"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</row>
    <row r="6" spans="2:12" ht="15" customHeight="1" x14ac:dyDescent="0.2">
      <c r="B6" s="11" t="s">
        <v>7</v>
      </c>
      <c r="C6" s="12" t="s">
        <v>8</v>
      </c>
      <c r="D6" s="12" t="s">
        <v>9</v>
      </c>
      <c r="E6" s="12" t="s">
        <v>10</v>
      </c>
      <c r="F6" s="13">
        <v>77</v>
      </c>
    </row>
    <row r="7" spans="2:12" ht="15" customHeight="1" x14ac:dyDescent="0.2">
      <c r="B7" s="14" t="s">
        <v>7</v>
      </c>
      <c r="C7" s="15" t="s">
        <v>8</v>
      </c>
      <c r="D7" s="15" t="s">
        <v>11</v>
      </c>
      <c r="E7" s="15" t="s">
        <v>10</v>
      </c>
      <c r="F7" s="16">
        <v>82</v>
      </c>
    </row>
    <row r="8" spans="2:12" ht="15" customHeight="1" x14ac:dyDescent="0.2">
      <c r="B8" s="11" t="s">
        <v>12</v>
      </c>
      <c r="C8" s="12" t="s">
        <v>8</v>
      </c>
      <c r="D8" s="12" t="s">
        <v>9</v>
      </c>
      <c r="E8" s="12" t="s">
        <v>10</v>
      </c>
      <c r="F8" s="13">
        <v>82</v>
      </c>
    </row>
    <row r="9" spans="2:12" ht="15" customHeight="1" x14ac:dyDescent="0.2">
      <c r="B9" s="14" t="s">
        <v>12</v>
      </c>
      <c r="C9" s="15" t="s">
        <v>8</v>
      </c>
      <c r="D9" s="15" t="s">
        <v>11</v>
      </c>
      <c r="E9" s="15" t="s">
        <v>10</v>
      </c>
      <c r="F9" s="16">
        <v>88</v>
      </c>
    </row>
    <row r="10" spans="2:12" ht="15" customHeight="1" x14ac:dyDescent="0.2">
      <c r="B10" s="11" t="s">
        <v>13</v>
      </c>
      <c r="C10" s="12" t="s">
        <v>14</v>
      </c>
      <c r="D10" s="12" t="s">
        <v>9</v>
      </c>
      <c r="E10" s="12" t="s">
        <v>10</v>
      </c>
      <c r="F10" s="13">
        <v>85</v>
      </c>
    </row>
    <row r="11" spans="2:12" ht="15" customHeight="1" x14ac:dyDescent="0.2">
      <c r="B11" s="14" t="s">
        <v>13</v>
      </c>
      <c r="C11" s="15" t="s">
        <v>14</v>
      </c>
      <c r="D11" s="15" t="s">
        <v>11</v>
      </c>
      <c r="E11" s="15" t="s">
        <v>10</v>
      </c>
      <c r="F11" s="16">
        <v>95</v>
      </c>
    </row>
    <row r="13" spans="2:12" ht="15" customHeight="1" x14ac:dyDescent="0.2">
      <c r="B13" s="8" t="s">
        <v>15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2:12" ht="15" customHeight="1" x14ac:dyDescent="0.2">
      <c r="B14" s="10" t="s">
        <v>2</v>
      </c>
      <c r="C14" s="10" t="s">
        <v>16</v>
      </c>
    </row>
    <row r="15" spans="2:12" ht="15" customHeight="1" x14ac:dyDescent="0.2">
      <c r="B15" s="11" t="s">
        <v>7</v>
      </c>
      <c r="C15" s="13">
        <v>300</v>
      </c>
    </row>
    <row r="16" spans="2:12" ht="15" customHeight="1" x14ac:dyDescent="0.2">
      <c r="B16" s="14" t="s">
        <v>12</v>
      </c>
      <c r="C16" s="16">
        <v>350</v>
      </c>
    </row>
    <row r="17" spans="2:12" ht="15" customHeight="1" x14ac:dyDescent="0.2">
      <c r="B17" s="11" t="s">
        <v>13</v>
      </c>
      <c r="C17" s="13">
        <v>285</v>
      </c>
    </row>
    <row r="19" spans="2:12" ht="15" customHeight="1" x14ac:dyDescent="0.2">
      <c r="B19" s="8" t="s">
        <v>17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2:12" ht="15" customHeight="1" x14ac:dyDescent="0.2">
      <c r="B20" s="10" t="s">
        <v>2</v>
      </c>
      <c r="C20" s="10" t="s">
        <v>18</v>
      </c>
    </row>
    <row r="21" spans="2:12" ht="15" customHeight="1" x14ac:dyDescent="0.2">
      <c r="B21" s="11" t="s">
        <v>7</v>
      </c>
      <c r="C21" s="13">
        <v>150</v>
      </c>
    </row>
    <row r="22" spans="2:12" ht="15" customHeight="1" x14ac:dyDescent="0.2">
      <c r="B22" s="14" t="s">
        <v>12</v>
      </c>
      <c r="C22" s="16">
        <v>155</v>
      </c>
    </row>
    <row r="23" spans="2:12" ht="15" customHeight="1" x14ac:dyDescent="0.2">
      <c r="B23" s="11" t="s">
        <v>13</v>
      </c>
      <c r="C23" s="13">
        <v>149</v>
      </c>
    </row>
    <row r="25" spans="2:12" ht="15" customHeight="1" x14ac:dyDescent="0.2">
      <c r="B25" s="8" t="s">
        <v>19</v>
      </c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2:12" ht="15" customHeight="1" x14ac:dyDescent="0.2">
      <c r="B26" s="10" t="s">
        <v>20</v>
      </c>
      <c r="C26" s="10" t="s">
        <v>21</v>
      </c>
      <c r="D26" s="10" t="s">
        <v>22</v>
      </c>
      <c r="E26" s="10" t="s">
        <v>23</v>
      </c>
    </row>
    <row r="27" spans="2:12" ht="15" customHeight="1" x14ac:dyDescent="0.2">
      <c r="B27" s="11" t="s">
        <v>24</v>
      </c>
      <c r="C27" s="12" t="s">
        <v>25</v>
      </c>
      <c r="D27" s="13">
        <v>12600</v>
      </c>
      <c r="E27" s="13">
        <v>50400</v>
      </c>
    </row>
    <row r="28" spans="2:12" ht="15" customHeight="1" x14ac:dyDescent="0.2">
      <c r="B28" s="14" t="s">
        <v>26</v>
      </c>
      <c r="C28" s="15" t="s">
        <v>25</v>
      </c>
      <c r="D28" s="16">
        <v>27000</v>
      </c>
      <c r="E28" s="16">
        <v>108000</v>
      </c>
    </row>
    <row r="30" spans="2:12" ht="30" customHeight="1" x14ac:dyDescent="0.2">
      <c r="B30" s="7" t="s">
        <v>27</v>
      </c>
      <c r="C30" s="7"/>
      <c r="D30" s="7"/>
      <c r="E30" s="7"/>
      <c r="F30" s="7"/>
      <c r="G30" s="7"/>
      <c r="H30" s="7"/>
      <c r="I30" s="7"/>
      <c r="J30" s="7"/>
      <c r="K30" s="7"/>
      <c r="L30" s="7"/>
    </row>
    <row r="32" spans="2:12" ht="15" customHeight="1" x14ac:dyDescent="0.2">
      <c r="B32" s="8" t="s">
        <v>28</v>
      </c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2:3" ht="15" customHeight="1" x14ac:dyDescent="0.2">
      <c r="B33" s="10" t="s">
        <v>29</v>
      </c>
      <c r="C33" s="10" t="s">
        <v>30</v>
      </c>
    </row>
    <row r="34" spans="2:3" ht="15" customHeight="1" x14ac:dyDescent="0.2">
      <c r="B34" s="11" t="s">
        <v>31</v>
      </c>
      <c r="C34" s="12" t="s">
        <v>32</v>
      </c>
    </row>
    <row r="35" spans="2:3" ht="15" customHeight="1" x14ac:dyDescent="0.2">
      <c r="B35" s="14" t="s">
        <v>33</v>
      </c>
      <c r="C35" s="15" t="s">
        <v>34</v>
      </c>
    </row>
    <row r="36" spans="2:3" ht="15" customHeight="1" x14ac:dyDescent="0.2">
      <c r="B36" s="11" t="s">
        <v>35</v>
      </c>
      <c r="C36" s="12" t="s">
        <v>36</v>
      </c>
    </row>
    <row r="37" spans="2:3" ht="15" customHeight="1" x14ac:dyDescent="0.2">
      <c r="B37" s="14" t="s">
        <v>37</v>
      </c>
      <c r="C37" s="15" t="s">
        <v>38</v>
      </c>
    </row>
    <row r="38" spans="2:3" ht="15" customHeight="1" x14ac:dyDescent="0.2">
      <c r="B38" s="11" t="s">
        <v>39</v>
      </c>
      <c r="C38" s="12" t="s">
        <v>40</v>
      </c>
    </row>
    <row r="39" spans="2:3" ht="15" customHeight="1" x14ac:dyDescent="0.2">
      <c r="B39" s="14" t="s">
        <v>41</v>
      </c>
      <c r="C39" s="15" t="s">
        <v>42</v>
      </c>
    </row>
  </sheetData>
  <mergeCells count="7">
    <mergeCell ref="B30:L30"/>
    <mergeCell ref="B32:L32"/>
    <mergeCell ref="B2:L2"/>
    <mergeCell ref="B4:L4"/>
    <mergeCell ref="B13:L13"/>
    <mergeCell ref="B19:L19"/>
    <mergeCell ref="B25:L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5"/>
  <sheetViews>
    <sheetView showGridLines="0" tabSelected="1" zoomScaleNormal="100" workbookViewId="0"/>
  </sheetViews>
  <sheetFormatPr baseColWidth="10" defaultColWidth="8.6640625" defaultRowHeight="15" x14ac:dyDescent="0.2"/>
  <cols>
    <col min="2" max="2" width="40" customWidth="1"/>
    <col min="3" max="7" width="14" customWidth="1"/>
  </cols>
  <sheetData>
    <row r="2" spans="2:14" ht="15" customHeight="1" x14ac:dyDescent="0.2">
      <c r="B2" s="6" t="s">
        <v>43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2:14" ht="15" customHeight="1" x14ac:dyDescent="0.2">
      <c r="B4" s="5" t="s">
        <v>44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2:14" ht="15" customHeight="1" x14ac:dyDescent="0.2">
      <c r="B5" s="10" t="s">
        <v>2</v>
      </c>
      <c r="C5" s="10" t="s">
        <v>45</v>
      </c>
      <c r="D5" s="10" t="s">
        <v>46</v>
      </c>
      <c r="E5" s="10" t="s">
        <v>47</v>
      </c>
      <c r="F5" s="10" t="s">
        <v>48</v>
      </c>
      <c r="G5" s="10" t="s">
        <v>49</v>
      </c>
    </row>
    <row r="6" spans="2:14" ht="15" customHeight="1" x14ac:dyDescent="0.2">
      <c r="B6" s="17" t="s">
        <v>13</v>
      </c>
      <c r="C6" s="18">
        <v>0</v>
      </c>
      <c r="D6" s="18">
        <v>9000</v>
      </c>
      <c r="E6" s="18">
        <v>0</v>
      </c>
      <c r="F6" s="18">
        <v>0</v>
      </c>
      <c r="G6" s="19">
        <f>SUM(C6:F6)</f>
        <v>9000</v>
      </c>
    </row>
    <row r="7" spans="2:14" ht="15" customHeight="1" x14ac:dyDescent="0.2">
      <c r="B7" s="20" t="s">
        <v>50</v>
      </c>
      <c r="C7" s="21">
        <v>9000</v>
      </c>
      <c r="D7" s="21">
        <v>1800</v>
      </c>
      <c r="E7" s="21">
        <v>5040</v>
      </c>
      <c r="F7" s="21">
        <v>0</v>
      </c>
      <c r="G7" s="19">
        <f>SUM(C7:F7)</f>
        <v>15840</v>
      </c>
    </row>
    <row r="8" spans="2:14" ht="15" customHeight="1" x14ac:dyDescent="0.2">
      <c r="B8" s="17" t="s">
        <v>7</v>
      </c>
      <c r="C8" s="18">
        <v>7560</v>
      </c>
      <c r="D8" s="18">
        <v>5040</v>
      </c>
      <c r="E8" s="18">
        <v>12600</v>
      </c>
      <c r="F8" s="18">
        <v>12600</v>
      </c>
      <c r="G8" s="19">
        <f>SUM(C8:F8)</f>
        <v>37800</v>
      </c>
    </row>
    <row r="9" spans="2:14" ht="15" customHeight="1" x14ac:dyDescent="0.2">
      <c r="B9" s="22" t="s">
        <v>51</v>
      </c>
      <c r="C9" s="23">
        <f>SUM(C6:C8)</f>
        <v>16560</v>
      </c>
      <c r="D9" s="23">
        <f>SUM(D6:D8)</f>
        <v>15840</v>
      </c>
      <c r="E9" s="23">
        <f>SUM(E6:E8)</f>
        <v>17640</v>
      </c>
      <c r="F9" s="23">
        <f>SUM(F6:F8)</f>
        <v>12600</v>
      </c>
      <c r="G9" s="24"/>
    </row>
    <row r="11" spans="2:14" ht="15" customHeight="1" x14ac:dyDescent="0.2">
      <c r="B11" s="5" t="s">
        <v>52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2:14" ht="15" customHeight="1" x14ac:dyDescent="0.2">
      <c r="B12" s="10" t="s">
        <v>2</v>
      </c>
      <c r="C12" s="10" t="s">
        <v>45</v>
      </c>
      <c r="D12" s="10" t="s">
        <v>46</v>
      </c>
      <c r="E12" s="10" t="s">
        <v>47</v>
      </c>
      <c r="F12" s="10" t="s">
        <v>48</v>
      </c>
      <c r="G12" s="10" t="s">
        <v>49</v>
      </c>
    </row>
    <row r="13" spans="2:14" ht="15" customHeight="1" x14ac:dyDescent="0.2">
      <c r="B13" s="20" t="s">
        <v>53</v>
      </c>
      <c r="C13" s="21">
        <v>0</v>
      </c>
      <c r="D13" s="21">
        <v>0</v>
      </c>
      <c r="E13" s="21">
        <v>0</v>
      </c>
      <c r="F13" s="21">
        <v>3600</v>
      </c>
      <c r="G13" s="19">
        <f t="shared" ref="G13:G18" si="0">SUM(C13:F13)</f>
        <v>3600</v>
      </c>
    </row>
    <row r="14" spans="2:14" ht="15" customHeight="1" x14ac:dyDescent="0.2">
      <c r="B14" s="17" t="s">
        <v>12</v>
      </c>
      <c r="C14" s="18">
        <v>5400</v>
      </c>
      <c r="D14" s="18">
        <v>14400</v>
      </c>
      <c r="E14" s="18">
        <v>12960</v>
      </c>
      <c r="F14" s="18">
        <v>12600</v>
      </c>
      <c r="G14" s="19">
        <f t="shared" si="0"/>
        <v>45360</v>
      </c>
    </row>
    <row r="15" spans="2:14" ht="15" customHeight="1" x14ac:dyDescent="0.2">
      <c r="B15" s="20" t="s">
        <v>13</v>
      </c>
      <c r="C15" s="21">
        <v>16200</v>
      </c>
      <c r="D15" s="21">
        <v>0</v>
      </c>
      <c r="E15" s="21">
        <v>0</v>
      </c>
      <c r="F15" s="21">
        <v>0</v>
      </c>
      <c r="G15" s="19">
        <f t="shared" si="0"/>
        <v>16200</v>
      </c>
    </row>
    <row r="16" spans="2:14" ht="15" customHeight="1" x14ac:dyDescent="0.2">
      <c r="B16" s="17" t="s">
        <v>7</v>
      </c>
      <c r="C16" s="18">
        <v>5400</v>
      </c>
      <c r="D16" s="18">
        <v>0</v>
      </c>
      <c r="E16" s="18">
        <v>10800</v>
      </c>
      <c r="F16" s="18">
        <v>0</v>
      </c>
      <c r="G16" s="19">
        <f t="shared" si="0"/>
        <v>16200</v>
      </c>
    </row>
    <row r="17" spans="2:14" ht="15" customHeight="1" x14ac:dyDescent="0.2">
      <c r="B17" s="20" t="s">
        <v>54</v>
      </c>
      <c r="C17" s="21">
        <v>0</v>
      </c>
      <c r="D17" s="21">
        <v>5400</v>
      </c>
      <c r="E17" s="21">
        <v>3240</v>
      </c>
      <c r="F17" s="21">
        <v>0</v>
      </c>
      <c r="G17" s="19">
        <f t="shared" si="0"/>
        <v>8640</v>
      </c>
    </row>
    <row r="18" spans="2:14" ht="15" customHeight="1" x14ac:dyDescent="0.2">
      <c r="B18" s="17" t="s">
        <v>55</v>
      </c>
      <c r="C18" s="18">
        <v>0</v>
      </c>
      <c r="D18" s="18">
        <v>0</v>
      </c>
      <c r="E18" s="18">
        <v>0</v>
      </c>
      <c r="F18" s="18">
        <v>10800</v>
      </c>
      <c r="G18" s="19">
        <f t="shared" si="0"/>
        <v>10800</v>
      </c>
    </row>
    <row r="19" spans="2:14" ht="15" customHeight="1" x14ac:dyDescent="0.2">
      <c r="B19" s="22" t="s">
        <v>56</v>
      </c>
      <c r="C19" s="23">
        <f>SUM(C13:C18)</f>
        <v>27000</v>
      </c>
      <c r="D19" s="23">
        <f>SUM(D13:D18)</f>
        <v>19800</v>
      </c>
      <c r="E19" s="23">
        <f>SUM(E13:E18)</f>
        <v>27000</v>
      </c>
      <c r="F19" s="23">
        <f>SUM(F13:F18)</f>
        <v>27000</v>
      </c>
      <c r="G19" s="23">
        <f>SUM(G13:G18)</f>
        <v>100800</v>
      </c>
    </row>
    <row r="21" spans="2:14" ht="15" customHeight="1" x14ac:dyDescent="0.2">
      <c r="B21" s="8" t="s">
        <v>57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2:14" ht="15" customHeight="1" x14ac:dyDescent="0.2">
      <c r="B22" s="10" t="s">
        <v>58</v>
      </c>
      <c r="C22" s="10" t="s">
        <v>45</v>
      </c>
      <c r="D22" s="10" t="s">
        <v>46</v>
      </c>
      <c r="E22" s="10" t="s">
        <v>47</v>
      </c>
      <c r="F22" s="10" t="s">
        <v>48</v>
      </c>
      <c r="G22" s="10" t="s">
        <v>49</v>
      </c>
    </row>
    <row r="23" spans="2:14" ht="15" customHeight="1" x14ac:dyDescent="0.2">
      <c r="B23" s="20" t="s">
        <v>59</v>
      </c>
      <c r="C23" s="21">
        <f>C9</f>
        <v>16560</v>
      </c>
      <c r="D23" s="21">
        <f>D9</f>
        <v>15840</v>
      </c>
      <c r="E23" s="21">
        <f>E9</f>
        <v>17640</v>
      </c>
      <c r="F23" s="21">
        <f>F9</f>
        <v>12600</v>
      </c>
      <c r="G23" s="21">
        <f>G9</f>
        <v>0</v>
      </c>
    </row>
    <row r="24" spans="2:14" ht="15" customHeight="1" x14ac:dyDescent="0.2">
      <c r="B24" s="20" t="s">
        <v>60</v>
      </c>
      <c r="C24" s="21">
        <f>C19</f>
        <v>27000</v>
      </c>
      <c r="D24" s="21">
        <f>D19</f>
        <v>19800</v>
      </c>
      <c r="E24" s="21">
        <f>E19</f>
        <v>27000</v>
      </c>
      <c r="F24" s="21">
        <f>F19</f>
        <v>27000</v>
      </c>
      <c r="G24" s="21">
        <f>G19</f>
        <v>100800</v>
      </c>
    </row>
    <row r="25" spans="2:14" ht="15" customHeight="1" x14ac:dyDescent="0.2">
      <c r="B25" s="25" t="s">
        <v>61</v>
      </c>
      <c r="C25" s="19">
        <f>SUM(C23:C24)</f>
        <v>43560</v>
      </c>
      <c r="D25" s="19">
        <f>SUM(D23:D24)</f>
        <v>35640</v>
      </c>
      <c r="E25" s="19">
        <f>SUM(E23:E24)</f>
        <v>44640</v>
      </c>
      <c r="F25" s="19">
        <f>SUM(F23:F24)</f>
        <v>39600</v>
      </c>
      <c r="G25" s="19">
        <f>SUM(G23:G24)</f>
        <v>100800</v>
      </c>
    </row>
  </sheetData>
  <mergeCells count="4">
    <mergeCell ref="B2:N2"/>
    <mergeCell ref="B4:N4"/>
    <mergeCell ref="B11:N11"/>
    <mergeCell ref="B21:N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21"/>
  <sheetViews>
    <sheetView showGridLines="0" zoomScaleNormal="100" workbookViewId="0"/>
  </sheetViews>
  <sheetFormatPr baseColWidth="10" defaultColWidth="8.6640625" defaultRowHeight="15" x14ac:dyDescent="0.2"/>
  <cols>
    <col min="2" max="2" width="52" customWidth="1"/>
    <col min="3" max="3" width="20" customWidth="1"/>
    <col min="4" max="5" width="16" customWidth="1"/>
    <col min="6" max="9" width="14" customWidth="1"/>
    <col min="10" max="10" width="28" customWidth="1"/>
  </cols>
  <sheetData>
    <row r="2" spans="2:13" ht="15" customHeight="1" x14ac:dyDescent="0.2">
      <c r="B2" s="6" t="s">
        <v>62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spans="2:13" ht="15" customHeight="1" x14ac:dyDescent="0.2">
      <c r="B4" s="8" t="s">
        <v>63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2:13" ht="30" customHeight="1" x14ac:dyDescent="0.2">
      <c r="B5" s="26" t="s">
        <v>64</v>
      </c>
      <c r="C5" s="26" t="s">
        <v>65</v>
      </c>
      <c r="D5" s="26" t="s">
        <v>66</v>
      </c>
      <c r="E5" s="26" t="s">
        <v>67</v>
      </c>
      <c r="F5" s="26" t="s">
        <v>68</v>
      </c>
      <c r="G5" s="26" t="s">
        <v>69</v>
      </c>
      <c r="H5" s="26" t="s">
        <v>70</v>
      </c>
      <c r="I5" s="26" t="s">
        <v>71</v>
      </c>
      <c r="J5" s="26" t="s">
        <v>72</v>
      </c>
    </row>
    <row r="6" spans="2:13" ht="15" customHeight="1" x14ac:dyDescent="0.2">
      <c r="B6" s="27" t="s">
        <v>73</v>
      </c>
      <c r="C6" s="28">
        <v>180</v>
      </c>
      <c r="D6" s="28">
        <v>0</v>
      </c>
      <c r="E6" s="28">
        <f>C6+D6</f>
        <v>180</v>
      </c>
      <c r="F6" s="29">
        <v>0.91</v>
      </c>
      <c r="G6" s="28">
        <f>E6*F6</f>
        <v>163.80000000000001</v>
      </c>
      <c r="H6" s="28">
        <v>158.4</v>
      </c>
      <c r="I6" s="30">
        <f>MAX(0,E6-H6)</f>
        <v>21.599999999999994</v>
      </c>
      <c r="J6" s="31" t="s">
        <v>74</v>
      </c>
    </row>
    <row r="7" spans="2:13" ht="15" customHeight="1" x14ac:dyDescent="0.2">
      <c r="B7" s="32" t="s">
        <v>75</v>
      </c>
      <c r="C7" s="30">
        <v>180</v>
      </c>
      <c r="D7" s="30">
        <v>12</v>
      </c>
      <c r="E7" s="30">
        <f>C7+D7</f>
        <v>192</v>
      </c>
      <c r="F7" s="33">
        <v>0.91</v>
      </c>
      <c r="G7" s="30">
        <f>E7*F7</f>
        <v>174.72</v>
      </c>
      <c r="H7" s="30">
        <v>158.4</v>
      </c>
      <c r="I7" s="30">
        <f>MAX(0,E7-H7)</f>
        <v>33.599999999999994</v>
      </c>
      <c r="J7" s="31" t="s">
        <v>74</v>
      </c>
    </row>
    <row r="8" spans="2:13" ht="15" customHeight="1" x14ac:dyDescent="0.2">
      <c r="B8" s="32" t="s">
        <v>76</v>
      </c>
      <c r="C8" s="30">
        <v>192</v>
      </c>
      <c r="D8" s="30">
        <v>19.2</v>
      </c>
      <c r="E8" s="30">
        <f>C8+D8</f>
        <v>211.2</v>
      </c>
      <c r="F8" s="33">
        <v>0.91</v>
      </c>
      <c r="G8" s="30">
        <f>E8*F8</f>
        <v>192.19200000000001</v>
      </c>
      <c r="H8" s="30">
        <v>158.4</v>
      </c>
      <c r="I8" s="30">
        <f>MAX(0,E8-H8)</f>
        <v>52.799999999999983</v>
      </c>
      <c r="J8" s="31" t="s">
        <v>74</v>
      </c>
    </row>
    <row r="10" spans="2:13" ht="45" customHeight="1" x14ac:dyDescent="0.2">
      <c r="B10" s="7" t="s">
        <v>77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2" spans="2:13" ht="15" customHeight="1" x14ac:dyDescent="0.2">
      <c r="B12" s="8" t="s">
        <v>78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2:13" ht="15" customHeight="1" x14ac:dyDescent="0.2">
      <c r="B13" s="10" t="s">
        <v>79</v>
      </c>
      <c r="C13" s="10" t="s">
        <v>30</v>
      </c>
      <c r="D13" s="10" t="s">
        <v>80</v>
      </c>
    </row>
    <row r="14" spans="2:13" ht="21.75" customHeight="1" x14ac:dyDescent="0.2">
      <c r="B14" s="34" t="s">
        <v>81</v>
      </c>
      <c r="C14" s="35" t="s">
        <v>82</v>
      </c>
      <c r="D14" s="34" t="s">
        <v>83</v>
      </c>
    </row>
    <row r="15" spans="2:13" ht="21.75" customHeight="1" x14ac:dyDescent="0.2">
      <c r="B15" s="36" t="s">
        <v>84</v>
      </c>
      <c r="C15" s="37" t="s">
        <v>85</v>
      </c>
      <c r="D15" s="36" t="s">
        <v>86</v>
      </c>
    </row>
    <row r="16" spans="2:13" ht="21.75" customHeight="1" x14ac:dyDescent="0.2">
      <c r="B16" s="34" t="s">
        <v>87</v>
      </c>
      <c r="C16" s="35" t="s">
        <v>88</v>
      </c>
      <c r="D16" s="34" t="s">
        <v>89</v>
      </c>
    </row>
    <row r="17" spans="2:4" ht="21.75" customHeight="1" x14ac:dyDescent="0.2">
      <c r="B17" s="36" t="s">
        <v>90</v>
      </c>
      <c r="C17" s="37" t="s">
        <v>91</v>
      </c>
      <c r="D17" s="36" t="s">
        <v>92</v>
      </c>
    </row>
    <row r="18" spans="2:4" ht="21.75" customHeight="1" x14ac:dyDescent="0.2">
      <c r="B18" s="34" t="s">
        <v>93</v>
      </c>
      <c r="C18" s="35" t="s">
        <v>94</v>
      </c>
      <c r="D18" s="34" t="s">
        <v>95</v>
      </c>
    </row>
    <row r="19" spans="2:4" ht="21.75" customHeight="1" x14ac:dyDescent="0.2">
      <c r="B19" s="36" t="s">
        <v>96</v>
      </c>
      <c r="C19" s="37" t="s">
        <v>97</v>
      </c>
      <c r="D19" s="36" t="s">
        <v>98</v>
      </c>
    </row>
    <row r="20" spans="2:4" ht="21.75" customHeight="1" x14ac:dyDescent="0.2">
      <c r="B20" s="34" t="s">
        <v>99</v>
      </c>
      <c r="C20" s="35" t="s">
        <v>100</v>
      </c>
      <c r="D20" s="34" t="s">
        <v>101</v>
      </c>
    </row>
    <row r="21" spans="2:4" ht="21.75" customHeight="1" x14ac:dyDescent="0.2">
      <c r="B21" s="36" t="s">
        <v>102</v>
      </c>
      <c r="C21" s="37" t="s">
        <v>103</v>
      </c>
      <c r="D21" s="36" t="s">
        <v>104</v>
      </c>
    </row>
  </sheetData>
  <mergeCells count="4">
    <mergeCell ref="B2:M2"/>
    <mergeCell ref="B4:M4"/>
    <mergeCell ref="B10:M10"/>
    <mergeCell ref="B12:M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28"/>
  <sheetViews>
    <sheetView showGridLines="0" zoomScaleNormal="100" workbookViewId="0"/>
  </sheetViews>
  <sheetFormatPr baseColWidth="10" defaultColWidth="8.6640625" defaultRowHeight="15" x14ac:dyDescent="0.2"/>
  <cols>
    <col min="2" max="2" width="46" customWidth="1"/>
    <col min="3" max="5" width="22" customWidth="1"/>
    <col min="6" max="8" width="14" customWidth="1"/>
    <col min="9" max="9" width="16" customWidth="1"/>
  </cols>
  <sheetData>
    <row r="2" spans="2:16" ht="15" customHeight="1" x14ac:dyDescent="0.2">
      <c r="B2" s="6" t="s">
        <v>105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spans="2:16" ht="15" customHeight="1" x14ac:dyDescent="0.2">
      <c r="B4" s="5" t="s">
        <v>106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2:16" ht="15" customHeight="1" x14ac:dyDescent="0.2">
      <c r="B5" s="10" t="s">
        <v>3</v>
      </c>
      <c r="C5" s="10" t="s">
        <v>4</v>
      </c>
      <c r="D5" s="10" t="s">
        <v>2</v>
      </c>
      <c r="E5" s="10" t="s">
        <v>45</v>
      </c>
      <c r="F5" s="10" t="s">
        <v>46</v>
      </c>
      <c r="G5" s="10" t="s">
        <v>47</v>
      </c>
      <c r="H5" s="10" t="s">
        <v>48</v>
      </c>
      <c r="I5" s="10" t="s">
        <v>107</v>
      </c>
    </row>
    <row r="6" spans="2:16" ht="15" customHeight="1" x14ac:dyDescent="0.2">
      <c r="B6" s="38" t="s">
        <v>108</v>
      </c>
      <c r="C6" s="38" t="s">
        <v>9</v>
      </c>
      <c r="D6" s="38" t="s">
        <v>12</v>
      </c>
      <c r="E6" s="18">
        <v>7200</v>
      </c>
      <c r="F6" s="18">
        <v>7200</v>
      </c>
      <c r="G6" s="18">
        <v>7200</v>
      </c>
      <c r="H6" s="18">
        <v>7200</v>
      </c>
      <c r="I6" s="39">
        <f>SUM(E6:H6)</f>
        <v>28800</v>
      </c>
    </row>
    <row r="7" spans="2:16" ht="15" customHeight="1" x14ac:dyDescent="0.2">
      <c r="B7" s="40" t="s">
        <v>108</v>
      </c>
      <c r="C7" s="40" t="s">
        <v>11</v>
      </c>
      <c r="D7" s="40" t="s">
        <v>12</v>
      </c>
      <c r="E7" s="21">
        <v>4107</v>
      </c>
      <c r="F7" s="21">
        <v>0</v>
      </c>
      <c r="G7" s="21">
        <v>0</v>
      </c>
      <c r="H7" s="21">
        <v>0</v>
      </c>
      <c r="I7" s="39">
        <f>SUM(E7:H7)</f>
        <v>4107</v>
      </c>
    </row>
    <row r="8" spans="2:16" ht="15" customHeight="1" x14ac:dyDescent="0.2">
      <c r="B8" s="38" t="s">
        <v>108</v>
      </c>
      <c r="C8" s="38" t="s">
        <v>109</v>
      </c>
      <c r="D8" s="38" t="s">
        <v>12</v>
      </c>
      <c r="E8" s="18">
        <v>5400</v>
      </c>
      <c r="F8" s="18">
        <v>5400</v>
      </c>
      <c r="G8" s="18">
        <v>5400</v>
      </c>
      <c r="H8" s="18">
        <v>5400</v>
      </c>
      <c r="I8" s="39">
        <f>SUM(E8:H8)</f>
        <v>21600</v>
      </c>
    </row>
    <row r="9" spans="2:16" ht="15" customHeight="1" x14ac:dyDescent="0.2">
      <c r="B9" s="41" t="s">
        <v>110</v>
      </c>
      <c r="C9" s="41"/>
      <c r="D9" s="41"/>
      <c r="E9" s="23">
        <f>SUM(E6:E8)</f>
        <v>16707</v>
      </c>
      <c r="F9" s="23">
        <f>SUM(F6:F8)</f>
        <v>12600</v>
      </c>
      <c r="G9" s="23">
        <f>SUM(G6:G8)</f>
        <v>12600</v>
      </c>
      <c r="H9" s="23">
        <f>SUM(H6:H8)</f>
        <v>12600</v>
      </c>
      <c r="I9" s="19">
        <f>SUM(E9:H9)</f>
        <v>54507</v>
      </c>
    </row>
    <row r="11" spans="2:16" ht="15" customHeight="1" x14ac:dyDescent="0.2">
      <c r="B11" s="8" t="s">
        <v>111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2:16" ht="15" customHeight="1" x14ac:dyDescent="0.2">
      <c r="B12" s="10" t="s">
        <v>112</v>
      </c>
      <c r="C12" s="10" t="s">
        <v>113</v>
      </c>
      <c r="D12" s="10" t="s">
        <v>114</v>
      </c>
      <c r="E12" s="10" t="s">
        <v>115</v>
      </c>
    </row>
    <row r="13" spans="2:16" ht="15" customHeight="1" x14ac:dyDescent="0.2">
      <c r="B13" s="20" t="s">
        <v>116</v>
      </c>
      <c r="C13" s="21">
        <f>'Produção PCP'!G9</f>
        <v>0</v>
      </c>
      <c r="D13" s="24"/>
      <c r="E13" s="42" t="s">
        <v>117</v>
      </c>
    </row>
    <row r="14" spans="2:16" ht="15" customHeight="1" x14ac:dyDescent="0.2">
      <c r="B14" s="17" t="s">
        <v>118</v>
      </c>
      <c r="C14" s="18">
        <f>'Produção PCP'!G19</f>
        <v>100800</v>
      </c>
      <c r="D14" s="24"/>
      <c r="E14" s="42" t="s">
        <v>119</v>
      </c>
    </row>
    <row r="15" spans="2:16" ht="15" customHeight="1" x14ac:dyDescent="0.2">
      <c r="B15" s="20" t="s">
        <v>120</v>
      </c>
      <c r="C15" s="21">
        <f>I9</f>
        <v>54507</v>
      </c>
      <c r="D15" s="24"/>
      <c r="E15" s="42" t="s">
        <v>121</v>
      </c>
    </row>
    <row r="16" spans="2:16" ht="15" customHeight="1" x14ac:dyDescent="0.2">
      <c r="B16" s="25" t="s">
        <v>122</v>
      </c>
      <c r="C16" s="19">
        <f>SUM(C13:C15)</f>
        <v>155307</v>
      </c>
      <c r="D16" s="24"/>
      <c r="E16" s="42"/>
    </row>
    <row r="17" spans="2:16" ht="15" customHeight="1" x14ac:dyDescent="0.2">
      <c r="B17" s="20" t="s">
        <v>123</v>
      </c>
      <c r="C17" s="21">
        <v>192000</v>
      </c>
      <c r="D17" s="24"/>
      <c r="E17" s="42" t="s">
        <v>124</v>
      </c>
    </row>
    <row r="18" spans="2:16" ht="15" customHeight="1" x14ac:dyDescent="0.2">
      <c r="B18" s="17" t="s">
        <v>125</v>
      </c>
      <c r="C18" s="18">
        <f>C17*0.91</f>
        <v>174720</v>
      </c>
      <c r="D18" s="24"/>
      <c r="E18" s="42" t="s">
        <v>126</v>
      </c>
    </row>
    <row r="19" spans="2:16" ht="15" customHeight="1" x14ac:dyDescent="0.2">
      <c r="B19" s="25" t="s">
        <v>127</v>
      </c>
      <c r="C19" s="19">
        <f>C16-C17</f>
        <v>-36693</v>
      </c>
      <c r="D19" s="24"/>
      <c r="E19" s="42" t="s">
        <v>128</v>
      </c>
    </row>
    <row r="21" spans="2:16" ht="15" customHeight="1" x14ac:dyDescent="0.2">
      <c r="B21" s="4" t="s">
        <v>129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2:16" ht="15" customHeight="1" x14ac:dyDescent="0.2">
      <c r="B22" s="10" t="s">
        <v>29</v>
      </c>
      <c r="C22" s="10" t="s">
        <v>75</v>
      </c>
      <c r="D22" s="10" t="s">
        <v>76</v>
      </c>
    </row>
    <row r="23" spans="2:16" ht="15" customHeight="1" x14ac:dyDescent="0.2">
      <c r="B23" s="43" t="s">
        <v>130</v>
      </c>
      <c r="C23" s="37" t="s">
        <v>131</v>
      </c>
      <c r="D23" s="37" t="s">
        <v>132</v>
      </c>
    </row>
    <row r="24" spans="2:16" ht="15" customHeight="1" x14ac:dyDescent="0.2">
      <c r="B24" s="44" t="s">
        <v>133</v>
      </c>
      <c r="C24" s="35" t="s">
        <v>134</v>
      </c>
      <c r="D24" s="35" t="s">
        <v>135</v>
      </c>
    </row>
    <row r="25" spans="2:16" ht="15" customHeight="1" x14ac:dyDescent="0.2">
      <c r="B25" s="43" t="s">
        <v>136</v>
      </c>
      <c r="C25" s="37" t="s">
        <v>137</v>
      </c>
      <c r="D25" s="37" t="s">
        <v>137</v>
      </c>
    </row>
    <row r="26" spans="2:16" ht="15" customHeight="1" x14ac:dyDescent="0.2">
      <c r="B26" s="44" t="s">
        <v>138</v>
      </c>
      <c r="C26" s="35" t="s">
        <v>139</v>
      </c>
      <c r="D26" s="35" t="s">
        <v>140</v>
      </c>
    </row>
    <row r="27" spans="2:16" ht="15" customHeight="1" x14ac:dyDescent="0.2">
      <c r="B27" s="43" t="s">
        <v>141</v>
      </c>
      <c r="C27" s="37" t="s">
        <v>142</v>
      </c>
      <c r="D27" s="37" t="s">
        <v>143</v>
      </c>
    </row>
    <row r="28" spans="2:16" ht="15" customHeight="1" x14ac:dyDescent="0.2">
      <c r="B28" s="44" t="s">
        <v>144</v>
      </c>
      <c r="C28" s="35" t="s">
        <v>145</v>
      </c>
      <c r="D28" s="35" t="s">
        <v>146</v>
      </c>
    </row>
  </sheetData>
  <mergeCells count="4">
    <mergeCell ref="B2:P2"/>
    <mergeCell ref="B4:P4"/>
    <mergeCell ref="B11:P11"/>
    <mergeCell ref="B21:P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8"/>
  <sheetViews>
    <sheetView showGridLines="0" zoomScaleNormal="100" workbookViewId="0"/>
  </sheetViews>
  <sheetFormatPr baseColWidth="10" defaultColWidth="8.6640625" defaultRowHeight="15" x14ac:dyDescent="0.2"/>
  <cols>
    <col min="2" max="2" width="50" customWidth="1"/>
    <col min="3" max="3" width="18" customWidth="1"/>
    <col min="4" max="5" width="16" customWidth="1"/>
    <col min="6" max="6" width="18" customWidth="1"/>
    <col min="7" max="7" width="20" customWidth="1"/>
    <col min="8" max="8" width="30" customWidth="1"/>
  </cols>
  <sheetData>
    <row r="2" spans="2:15" ht="15" customHeight="1" x14ac:dyDescent="0.2">
      <c r="B2" s="6" t="s">
        <v>147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2:15" ht="15" customHeight="1" x14ac:dyDescent="0.2">
      <c r="B4" s="5" t="s">
        <v>148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2:15" ht="15" customHeight="1" x14ac:dyDescent="0.2">
      <c r="B5" s="10" t="s">
        <v>2</v>
      </c>
      <c r="C5" s="10" t="s">
        <v>149</v>
      </c>
      <c r="D5" s="10" t="s">
        <v>5</v>
      </c>
      <c r="E5" s="10" t="s">
        <v>150</v>
      </c>
      <c r="F5" s="10" t="s">
        <v>6</v>
      </c>
      <c r="G5" s="10" t="s">
        <v>151</v>
      </c>
    </row>
    <row r="6" spans="2:15" ht="15" customHeight="1" x14ac:dyDescent="0.2">
      <c r="B6" s="38" t="s">
        <v>12</v>
      </c>
      <c r="C6" s="38" t="s">
        <v>152</v>
      </c>
      <c r="D6" s="45" t="s">
        <v>10</v>
      </c>
      <c r="E6" s="18">
        <f>28800+21600</f>
        <v>50400</v>
      </c>
      <c r="F6" s="18">
        <v>82</v>
      </c>
      <c r="G6" s="18">
        <f>E6*F6</f>
        <v>4132800</v>
      </c>
    </row>
    <row r="7" spans="2:15" ht="15" customHeight="1" x14ac:dyDescent="0.2">
      <c r="B7" s="40" t="s">
        <v>12</v>
      </c>
      <c r="C7" s="40" t="s">
        <v>153</v>
      </c>
      <c r="D7" s="46" t="s">
        <v>10</v>
      </c>
      <c r="E7" s="21">
        <v>4107</v>
      </c>
      <c r="F7" s="21">
        <v>88</v>
      </c>
      <c r="G7" s="21">
        <f>E7*F7</f>
        <v>361416</v>
      </c>
    </row>
    <row r="8" spans="2:15" ht="15" customHeight="1" x14ac:dyDescent="0.2">
      <c r="B8" s="41" t="s">
        <v>154</v>
      </c>
      <c r="C8" s="41"/>
      <c r="D8" s="47"/>
      <c r="E8" s="23">
        <f>SUM(E6:E7)</f>
        <v>54507</v>
      </c>
      <c r="F8" s="23"/>
      <c r="G8" s="19">
        <f>SUM(G6:G7)</f>
        <v>4494216</v>
      </c>
    </row>
    <row r="10" spans="2:15" ht="15" customHeight="1" x14ac:dyDescent="0.2">
      <c r="B10" s="8" t="s">
        <v>155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2:15" ht="34.5" customHeight="1" x14ac:dyDescent="0.2">
      <c r="B11" s="26" t="s">
        <v>2</v>
      </c>
      <c r="C11" s="26" t="s">
        <v>156</v>
      </c>
      <c r="D11" s="26" t="s">
        <v>157</v>
      </c>
      <c r="E11" s="26" t="s">
        <v>158</v>
      </c>
      <c r="F11" s="26" t="s">
        <v>159</v>
      </c>
      <c r="G11" s="26" t="s">
        <v>160</v>
      </c>
      <c r="H11" s="26" t="s">
        <v>161</v>
      </c>
    </row>
    <row r="12" spans="2:15" ht="15" customHeight="1" x14ac:dyDescent="0.2">
      <c r="B12" s="17" t="s">
        <v>7</v>
      </c>
      <c r="C12" s="18">
        <v>300</v>
      </c>
      <c r="D12" s="18">
        <v>150</v>
      </c>
      <c r="E12" s="48">
        <v>79.5</v>
      </c>
      <c r="F12" s="48">
        <f>D12+E12</f>
        <v>229.5</v>
      </c>
      <c r="G12" s="28">
        <f>C12-F12</f>
        <v>70.5</v>
      </c>
      <c r="H12" s="49" t="s">
        <v>162</v>
      </c>
    </row>
    <row r="13" spans="2:15" ht="15" customHeight="1" x14ac:dyDescent="0.2">
      <c r="B13" s="20" t="s">
        <v>12</v>
      </c>
      <c r="C13" s="21">
        <v>350</v>
      </c>
      <c r="D13" s="21">
        <v>155</v>
      </c>
      <c r="E13" s="50">
        <v>85</v>
      </c>
      <c r="F13" s="50">
        <f>D13+E13</f>
        <v>240</v>
      </c>
      <c r="G13" s="28">
        <f>C13-F13</f>
        <v>110</v>
      </c>
      <c r="H13" s="49" t="s">
        <v>162</v>
      </c>
    </row>
    <row r="14" spans="2:15" ht="15" customHeight="1" x14ac:dyDescent="0.2">
      <c r="B14" s="17" t="s">
        <v>13</v>
      </c>
      <c r="C14" s="18">
        <v>285</v>
      </c>
      <c r="D14" s="18">
        <v>149</v>
      </c>
      <c r="E14" s="48">
        <v>90</v>
      </c>
      <c r="F14" s="48">
        <f>D14+E14</f>
        <v>239</v>
      </c>
      <c r="G14" s="28">
        <f>C14-F14</f>
        <v>46</v>
      </c>
      <c r="H14" s="49" t="s">
        <v>162</v>
      </c>
    </row>
    <row r="16" spans="2:15" ht="15" customHeight="1" x14ac:dyDescent="0.2">
      <c r="B16" s="8" t="s">
        <v>163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2:5" ht="15" customHeight="1" x14ac:dyDescent="0.2">
      <c r="B17" s="10" t="s">
        <v>164</v>
      </c>
      <c r="C17" s="10" t="s">
        <v>113</v>
      </c>
      <c r="D17" s="10" t="s">
        <v>6</v>
      </c>
      <c r="E17" s="10" t="s">
        <v>165</v>
      </c>
    </row>
    <row r="18" spans="2:5" ht="15" customHeight="1" x14ac:dyDescent="0.2">
      <c r="B18" s="17" t="s">
        <v>166</v>
      </c>
      <c r="C18" s="18">
        <f>35200</f>
        <v>35200</v>
      </c>
      <c r="D18" s="18">
        <v>150</v>
      </c>
      <c r="E18" s="18">
        <f t="shared" ref="E18:E26" si="0">C18*D18</f>
        <v>5280000</v>
      </c>
    </row>
    <row r="19" spans="2:5" ht="15" customHeight="1" x14ac:dyDescent="0.2">
      <c r="B19" s="20" t="s">
        <v>167</v>
      </c>
      <c r="C19" s="21">
        <f>15840</f>
        <v>15840</v>
      </c>
      <c r="D19" s="21">
        <v>150</v>
      </c>
      <c r="E19" s="21">
        <f t="shared" si="0"/>
        <v>2376000</v>
      </c>
    </row>
    <row r="20" spans="2:5" ht="15" customHeight="1" x14ac:dyDescent="0.2">
      <c r="B20" s="17" t="s">
        <v>168</v>
      </c>
      <c r="C20" s="18">
        <f>9000</f>
        <v>9000</v>
      </c>
      <c r="D20" s="18">
        <v>149</v>
      </c>
      <c r="E20" s="18">
        <f t="shared" si="0"/>
        <v>1341000</v>
      </c>
    </row>
    <row r="21" spans="2:5" ht="15" customHeight="1" x14ac:dyDescent="0.2">
      <c r="B21" s="20" t="s">
        <v>169</v>
      </c>
      <c r="C21" s="21">
        <f>45360</f>
        <v>45360</v>
      </c>
      <c r="D21" s="21">
        <v>155</v>
      </c>
      <c r="E21" s="21">
        <f t="shared" si="0"/>
        <v>7030800</v>
      </c>
    </row>
    <row r="22" spans="2:5" ht="15" customHeight="1" x14ac:dyDescent="0.2">
      <c r="B22" s="17" t="s">
        <v>170</v>
      </c>
      <c r="C22" s="18">
        <f>16200</f>
        <v>16200</v>
      </c>
      <c r="D22" s="18">
        <v>149</v>
      </c>
      <c r="E22" s="18">
        <f t="shared" si="0"/>
        <v>2413800</v>
      </c>
    </row>
    <row r="23" spans="2:5" ht="15" customHeight="1" x14ac:dyDescent="0.2">
      <c r="B23" s="20" t="s">
        <v>171</v>
      </c>
      <c r="C23" s="21">
        <f>16200</f>
        <v>16200</v>
      </c>
      <c r="D23" s="21">
        <v>150</v>
      </c>
      <c r="E23" s="21">
        <f t="shared" si="0"/>
        <v>2430000</v>
      </c>
    </row>
    <row r="24" spans="2:5" ht="15" customHeight="1" x14ac:dyDescent="0.2">
      <c r="B24" s="17" t="s">
        <v>172</v>
      </c>
      <c r="C24" s="18">
        <f>8640</f>
        <v>8640</v>
      </c>
      <c r="D24" s="18">
        <v>140</v>
      </c>
      <c r="E24" s="18">
        <f t="shared" si="0"/>
        <v>1209600</v>
      </c>
    </row>
    <row r="25" spans="2:5" ht="15" customHeight="1" x14ac:dyDescent="0.2">
      <c r="B25" s="20" t="s">
        <v>173</v>
      </c>
      <c r="C25" s="21">
        <f>3600</f>
        <v>3600</v>
      </c>
      <c r="D25" s="21">
        <v>145</v>
      </c>
      <c r="E25" s="21">
        <f t="shared" si="0"/>
        <v>522000</v>
      </c>
    </row>
    <row r="26" spans="2:5" ht="15" customHeight="1" x14ac:dyDescent="0.2">
      <c r="B26" s="17" t="s">
        <v>174</v>
      </c>
      <c r="C26" s="18">
        <f>10800</f>
        <v>10800</v>
      </c>
      <c r="D26" s="18">
        <v>145</v>
      </c>
      <c r="E26" s="18">
        <f t="shared" si="0"/>
        <v>1566000</v>
      </c>
    </row>
    <row r="27" spans="2:5" ht="15" customHeight="1" x14ac:dyDescent="0.2">
      <c r="B27" s="20" t="s">
        <v>175</v>
      </c>
      <c r="C27" s="21">
        <f>G8</f>
        <v>4494216</v>
      </c>
      <c r="D27" s="21"/>
      <c r="E27" s="21">
        <f>G8</f>
        <v>4494216</v>
      </c>
    </row>
    <row r="28" spans="2:5" ht="15" customHeight="1" x14ac:dyDescent="0.2">
      <c r="B28" s="25" t="s">
        <v>176</v>
      </c>
      <c r="C28" s="24"/>
      <c r="D28" s="24"/>
      <c r="E28" s="19">
        <f>SUM(E18:E27)</f>
        <v>28663416</v>
      </c>
    </row>
  </sheetData>
  <mergeCells count="4">
    <mergeCell ref="B2:O2"/>
    <mergeCell ref="B4:O4"/>
    <mergeCell ref="B10:O10"/>
    <mergeCell ref="B16:O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12"/>
  <sheetViews>
    <sheetView showGridLines="0" zoomScaleNormal="100" workbookViewId="0"/>
  </sheetViews>
  <sheetFormatPr baseColWidth="10" defaultColWidth="8.6640625" defaultRowHeight="15" x14ac:dyDescent="0.2"/>
  <cols>
    <col min="2" max="2" width="4" customWidth="1"/>
    <col min="3" max="3" width="55" customWidth="1"/>
    <col min="4" max="4" width="14" customWidth="1"/>
    <col min="5" max="6" width="12" customWidth="1"/>
    <col min="7" max="7" width="55" customWidth="1"/>
    <col min="8" max="8" width="25" customWidth="1"/>
  </cols>
  <sheetData>
    <row r="2" spans="2:12" ht="15" customHeight="1" x14ac:dyDescent="0.2">
      <c r="B2" s="6" t="s">
        <v>177</v>
      </c>
      <c r="C2" s="6"/>
      <c r="D2" s="6"/>
      <c r="E2" s="6"/>
      <c r="F2" s="6"/>
      <c r="G2" s="6"/>
      <c r="H2" s="6"/>
      <c r="I2" s="6"/>
      <c r="J2" s="6"/>
      <c r="K2" s="6"/>
      <c r="L2" s="6"/>
    </row>
    <row r="4" spans="2:12" ht="15" customHeight="1" x14ac:dyDescent="0.2">
      <c r="B4" s="10" t="s">
        <v>178</v>
      </c>
      <c r="C4" s="10" t="s">
        <v>179</v>
      </c>
      <c r="D4" s="10" t="s">
        <v>180</v>
      </c>
      <c r="E4" s="10" t="s">
        <v>181</v>
      </c>
      <c r="F4" s="10" t="s">
        <v>182</v>
      </c>
      <c r="G4" s="10" t="s">
        <v>183</v>
      </c>
      <c r="H4" s="10" t="s">
        <v>184</v>
      </c>
    </row>
    <row r="5" spans="2:12" ht="45" customHeight="1" x14ac:dyDescent="0.2">
      <c r="B5" s="51">
        <v>1</v>
      </c>
      <c r="C5" s="52" t="s">
        <v>185</v>
      </c>
      <c r="D5" s="51" t="s">
        <v>186</v>
      </c>
      <c r="E5" s="51" t="s">
        <v>187</v>
      </c>
      <c r="F5" s="53" t="s">
        <v>188</v>
      </c>
      <c r="G5" s="52" t="s">
        <v>189</v>
      </c>
      <c r="H5" s="52" t="s">
        <v>190</v>
      </c>
    </row>
    <row r="6" spans="2:12" ht="45" customHeight="1" x14ac:dyDescent="0.2">
      <c r="B6" s="54">
        <v>2</v>
      </c>
      <c r="C6" s="55" t="s">
        <v>191</v>
      </c>
      <c r="D6" s="54" t="s">
        <v>186</v>
      </c>
      <c r="E6" s="54" t="s">
        <v>192</v>
      </c>
      <c r="F6" s="56" t="s">
        <v>193</v>
      </c>
      <c r="G6" s="55" t="s">
        <v>194</v>
      </c>
      <c r="H6" s="55" t="s">
        <v>195</v>
      </c>
    </row>
    <row r="7" spans="2:12" ht="45" customHeight="1" x14ac:dyDescent="0.2">
      <c r="B7" s="51">
        <v>3</v>
      </c>
      <c r="C7" s="52" t="s">
        <v>196</v>
      </c>
      <c r="D7" s="51" t="s">
        <v>197</v>
      </c>
      <c r="E7" s="51" t="s">
        <v>192</v>
      </c>
      <c r="F7" s="56" t="s">
        <v>193</v>
      </c>
      <c r="G7" s="52" t="s">
        <v>198</v>
      </c>
      <c r="H7" s="52" t="s">
        <v>199</v>
      </c>
    </row>
    <row r="8" spans="2:12" ht="45" customHeight="1" x14ac:dyDescent="0.2">
      <c r="B8" s="54">
        <v>4</v>
      </c>
      <c r="C8" s="55" t="s">
        <v>200</v>
      </c>
      <c r="D8" s="54" t="s">
        <v>187</v>
      </c>
      <c r="E8" s="54" t="s">
        <v>192</v>
      </c>
      <c r="F8" s="56" t="s">
        <v>193</v>
      </c>
      <c r="G8" s="55" t="s">
        <v>201</v>
      </c>
      <c r="H8" s="55" t="s">
        <v>202</v>
      </c>
    </row>
    <row r="9" spans="2:12" ht="45" customHeight="1" x14ac:dyDescent="0.2">
      <c r="B9" s="51">
        <v>5</v>
      </c>
      <c r="C9" s="52" t="s">
        <v>203</v>
      </c>
      <c r="D9" s="51" t="s">
        <v>186</v>
      </c>
      <c r="E9" s="51" t="s">
        <v>192</v>
      </c>
      <c r="F9" s="56" t="s">
        <v>193</v>
      </c>
      <c r="G9" s="52" t="s">
        <v>204</v>
      </c>
      <c r="H9" s="52" t="s">
        <v>205</v>
      </c>
    </row>
    <row r="10" spans="2:12" ht="45" customHeight="1" x14ac:dyDescent="0.2">
      <c r="B10" s="54">
        <v>6</v>
      </c>
      <c r="C10" s="55" t="s">
        <v>206</v>
      </c>
      <c r="D10" s="54" t="s">
        <v>187</v>
      </c>
      <c r="E10" s="54" t="s">
        <v>187</v>
      </c>
      <c r="F10" s="53" t="s">
        <v>188</v>
      </c>
      <c r="G10" s="55" t="s">
        <v>207</v>
      </c>
      <c r="H10" s="55" t="s">
        <v>208</v>
      </c>
    </row>
    <row r="11" spans="2:12" ht="45" customHeight="1" x14ac:dyDescent="0.2">
      <c r="B11" s="51">
        <v>7</v>
      </c>
      <c r="C11" s="52" t="s">
        <v>209</v>
      </c>
      <c r="D11" s="51" t="s">
        <v>210</v>
      </c>
      <c r="E11" s="51" t="s">
        <v>210</v>
      </c>
      <c r="F11" s="57" t="s">
        <v>211</v>
      </c>
      <c r="G11" s="52" t="s">
        <v>212</v>
      </c>
      <c r="H11" s="52" t="s">
        <v>208</v>
      </c>
    </row>
    <row r="12" spans="2:12" ht="45" customHeight="1" x14ac:dyDescent="0.2">
      <c r="B12" s="54">
        <v>8</v>
      </c>
      <c r="C12" s="55" t="s">
        <v>213</v>
      </c>
      <c r="D12" s="54" t="s">
        <v>186</v>
      </c>
      <c r="E12" s="54" t="s">
        <v>187</v>
      </c>
      <c r="F12" s="53" t="s">
        <v>188</v>
      </c>
      <c r="G12" s="55" t="s">
        <v>214</v>
      </c>
      <c r="H12" s="55" t="s">
        <v>215</v>
      </c>
    </row>
  </sheetData>
  <mergeCells count="1">
    <mergeCell ref="B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36"/>
  <sheetViews>
    <sheetView showGridLines="0" topLeftCell="A18" zoomScaleNormal="100" workbookViewId="0">
      <selection activeCell="D20" sqref="D20"/>
    </sheetView>
  </sheetViews>
  <sheetFormatPr baseColWidth="10" defaultColWidth="8.6640625" defaultRowHeight="15" x14ac:dyDescent="0.2"/>
  <cols>
    <col min="2" max="2" width="28" customWidth="1"/>
    <col min="3" max="3" width="55" customWidth="1"/>
    <col min="4" max="4" width="30" customWidth="1"/>
    <col min="5" max="5" width="20" customWidth="1"/>
    <col min="6" max="6" width="14" customWidth="1"/>
    <col min="7" max="7" width="35" customWidth="1"/>
  </cols>
  <sheetData>
    <row r="2" spans="2:12" ht="15.75" customHeight="1" x14ac:dyDescent="0.2">
      <c r="B2" s="9" t="s">
        <v>216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ht="15" customHeight="1" x14ac:dyDescent="0.2">
      <c r="B4" s="5" t="s">
        <v>217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2:12" ht="15" customHeight="1" x14ac:dyDescent="0.2">
      <c r="B5" s="3" t="s">
        <v>218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39.75" customHeight="1" x14ac:dyDescent="0.2">
      <c r="B6" s="44" t="s">
        <v>219</v>
      </c>
      <c r="C6" s="2" t="s">
        <v>220</v>
      </c>
      <c r="D6" s="2"/>
      <c r="E6" s="2"/>
      <c r="F6" s="2"/>
      <c r="G6" s="2"/>
      <c r="H6" s="2"/>
      <c r="I6" s="2"/>
      <c r="J6" s="2"/>
      <c r="K6" s="2"/>
      <c r="L6" s="2"/>
    </row>
    <row r="7" spans="2:12" ht="39.75" customHeight="1" x14ac:dyDescent="0.2">
      <c r="B7" s="44" t="s">
        <v>221</v>
      </c>
      <c r="C7" s="2" t="s">
        <v>222</v>
      </c>
      <c r="D7" s="2"/>
      <c r="E7" s="2"/>
      <c r="F7" s="2"/>
      <c r="G7" s="2"/>
      <c r="H7" s="2"/>
      <c r="I7" s="2"/>
      <c r="J7" s="2"/>
      <c r="K7" s="2"/>
      <c r="L7" s="2"/>
    </row>
    <row r="8" spans="2:12" ht="39.75" customHeight="1" x14ac:dyDescent="0.2">
      <c r="B8" s="44" t="s">
        <v>223</v>
      </c>
      <c r="C8" s="2" t="s">
        <v>224</v>
      </c>
      <c r="D8" s="2"/>
      <c r="E8" s="2"/>
      <c r="F8" s="2"/>
      <c r="G8" s="2"/>
      <c r="H8" s="2"/>
      <c r="I8" s="2"/>
      <c r="J8" s="2"/>
      <c r="K8" s="2"/>
      <c r="L8" s="2"/>
    </row>
    <row r="10" spans="2:12" ht="15" customHeight="1" x14ac:dyDescent="0.2">
      <c r="B10" s="5" t="s">
        <v>225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ht="15" customHeight="1" x14ac:dyDescent="0.2">
      <c r="B11" s="1" t="s">
        <v>226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ht="15" customHeight="1" x14ac:dyDescent="0.2">
      <c r="B12" s="10" t="s">
        <v>227</v>
      </c>
      <c r="C12" s="10" t="s">
        <v>228</v>
      </c>
      <c r="D12" s="10" t="s">
        <v>229</v>
      </c>
      <c r="E12" s="10" t="s">
        <v>113</v>
      </c>
      <c r="F12" s="10" t="s">
        <v>5</v>
      </c>
      <c r="G12" s="10" t="s">
        <v>230</v>
      </c>
    </row>
    <row r="13" spans="2:12" ht="21.75" customHeight="1" x14ac:dyDescent="0.2">
      <c r="B13" s="58" t="s">
        <v>231</v>
      </c>
      <c r="C13" s="59" t="s">
        <v>232</v>
      </c>
      <c r="D13" s="59" t="s">
        <v>233</v>
      </c>
      <c r="E13" s="60">
        <v>9000</v>
      </c>
      <c r="F13" s="60" t="s">
        <v>234</v>
      </c>
      <c r="G13" s="60" t="s">
        <v>235</v>
      </c>
    </row>
    <row r="14" spans="2:12" ht="21.75" customHeight="1" x14ac:dyDescent="0.2">
      <c r="B14" s="58" t="s">
        <v>231</v>
      </c>
      <c r="C14" s="59" t="s">
        <v>232</v>
      </c>
      <c r="D14" s="59" t="s">
        <v>236</v>
      </c>
      <c r="E14" s="60">
        <v>41400</v>
      </c>
      <c r="F14" s="60" t="s">
        <v>234</v>
      </c>
      <c r="G14" s="60" t="s">
        <v>237</v>
      </c>
    </row>
    <row r="15" spans="2:12" ht="21.75" customHeight="1" x14ac:dyDescent="0.2">
      <c r="B15" s="58" t="s">
        <v>231</v>
      </c>
      <c r="C15" s="59" t="s">
        <v>238</v>
      </c>
      <c r="D15" s="59" t="s">
        <v>239</v>
      </c>
      <c r="E15" s="60">
        <v>45360</v>
      </c>
      <c r="F15" s="60" t="s">
        <v>234</v>
      </c>
      <c r="G15" s="60" t="s">
        <v>240</v>
      </c>
    </row>
    <row r="16" spans="2:12" ht="21.75" customHeight="1" x14ac:dyDescent="0.2">
      <c r="B16" s="58" t="s">
        <v>231</v>
      </c>
      <c r="C16" s="59" t="s">
        <v>238</v>
      </c>
      <c r="D16" s="59" t="s">
        <v>241</v>
      </c>
      <c r="E16" s="60">
        <v>16200</v>
      </c>
      <c r="F16" s="60" t="s">
        <v>234</v>
      </c>
      <c r="G16" s="60" t="s">
        <v>242</v>
      </c>
    </row>
    <row r="17" spans="2:12" ht="21.75" customHeight="1" x14ac:dyDescent="0.2">
      <c r="B17" s="58" t="s">
        <v>231</v>
      </c>
      <c r="C17" s="59" t="s">
        <v>238</v>
      </c>
      <c r="D17" s="59" t="s">
        <v>243</v>
      </c>
      <c r="E17" s="60">
        <v>31440</v>
      </c>
      <c r="F17" s="60" t="s">
        <v>234</v>
      </c>
      <c r="G17" s="60" t="s">
        <v>244</v>
      </c>
    </row>
    <row r="18" spans="2:12" ht="21.75" customHeight="1" x14ac:dyDescent="0.2">
      <c r="B18" s="61" t="s">
        <v>245</v>
      </c>
      <c r="C18" s="62" t="s">
        <v>246</v>
      </c>
      <c r="D18" s="62" t="s">
        <v>247</v>
      </c>
      <c r="E18" s="63">
        <v>53907</v>
      </c>
      <c r="F18" s="63" t="s">
        <v>10</v>
      </c>
      <c r="G18" s="63" t="s">
        <v>248</v>
      </c>
    </row>
    <row r="19" spans="2:12" ht="21.75" customHeight="1" x14ac:dyDescent="0.2">
      <c r="B19" s="58" t="s">
        <v>249</v>
      </c>
      <c r="C19" s="59" t="s">
        <v>202</v>
      </c>
      <c r="D19" s="59" t="s">
        <v>250</v>
      </c>
      <c r="E19" s="60" t="s">
        <v>251</v>
      </c>
      <c r="F19" s="60" t="s">
        <v>251</v>
      </c>
      <c r="G19" s="60" t="s">
        <v>252</v>
      </c>
    </row>
    <row r="20" spans="2:12" ht="21.75" customHeight="1" x14ac:dyDescent="0.2">
      <c r="B20" s="64" t="s">
        <v>253</v>
      </c>
      <c r="C20" s="65" t="s">
        <v>251</v>
      </c>
      <c r="D20" s="65" t="s">
        <v>254</v>
      </c>
      <c r="E20" s="66" t="s">
        <v>251</v>
      </c>
      <c r="F20" s="66" t="s">
        <v>251</v>
      </c>
      <c r="G20" s="66" t="s">
        <v>255</v>
      </c>
    </row>
    <row r="22" spans="2:12" ht="15" customHeight="1" x14ac:dyDescent="0.2">
      <c r="B22" s="5" t="s">
        <v>256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ht="15" customHeight="1" x14ac:dyDescent="0.2">
      <c r="B23" s="1" t="s">
        <v>257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ht="15" customHeight="1" x14ac:dyDescent="0.2">
      <c r="B24" s="10" t="s">
        <v>79</v>
      </c>
      <c r="C24" s="10" t="s">
        <v>258</v>
      </c>
      <c r="D24" s="10" t="s">
        <v>115</v>
      </c>
    </row>
    <row r="25" spans="2:12" ht="21.75" customHeight="1" x14ac:dyDescent="0.2">
      <c r="B25" s="20" t="s">
        <v>259</v>
      </c>
      <c r="C25" s="37" t="s">
        <v>260</v>
      </c>
      <c r="D25" s="67" t="s">
        <v>261</v>
      </c>
    </row>
    <row r="26" spans="2:12" ht="15" customHeight="1" x14ac:dyDescent="0.2">
      <c r="B26" s="17" t="s">
        <v>262</v>
      </c>
      <c r="C26" s="35" t="s">
        <v>263</v>
      </c>
      <c r="D26" s="67" t="s">
        <v>264</v>
      </c>
    </row>
    <row r="27" spans="2:12" ht="15" customHeight="1" x14ac:dyDescent="0.2">
      <c r="B27" s="25" t="s">
        <v>265</v>
      </c>
      <c r="C27" s="68" t="s">
        <v>266</v>
      </c>
      <c r="D27" s="67" t="s">
        <v>267</v>
      </c>
    </row>
    <row r="28" spans="2:12" ht="21.75" customHeight="1" x14ac:dyDescent="0.2">
      <c r="B28" s="17" t="s">
        <v>268</v>
      </c>
      <c r="C28" s="35" t="s">
        <v>269</v>
      </c>
      <c r="D28" s="67" t="s">
        <v>270</v>
      </c>
    </row>
    <row r="29" spans="2:12" ht="15" customHeight="1" x14ac:dyDescent="0.2">
      <c r="B29" s="20" t="s">
        <v>271</v>
      </c>
      <c r="C29" s="37" t="s">
        <v>272</v>
      </c>
      <c r="D29" s="67" t="s">
        <v>273</v>
      </c>
    </row>
    <row r="31" spans="2:12" ht="15" customHeight="1" x14ac:dyDescent="0.2">
      <c r="B31" s="5" t="s">
        <v>274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 ht="15" customHeight="1" x14ac:dyDescent="0.2">
      <c r="B32" s="4" t="s">
        <v>275</v>
      </c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 ht="15" customHeight="1" x14ac:dyDescent="0.2">
      <c r="B33" s="10" t="s">
        <v>276</v>
      </c>
      <c r="C33" s="10" t="s">
        <v>179</v>
      </c>
      <c r="D33" s="10" t="s">
        <v>277</v>
      </c>
      <c r="E33" s="24"/>
      <c r="F33" s="24"/>
      <c r="G33" s="24"/>
      <c r="H33" s="24"/>
      <c r="I33" s="24"/>
      <c r="J33" s="24"/>
      <c r="K33" s="24"/>
      <c r="L33" s="24"/>
    </row>
    <row r="34" spans="2:12" ht="39.75" customHeight="1" x14ac:dyDescent="0.2">
      <c r="B34" s="69" t="s">
        <v>193</v>
      </c>
      <c r="C34" s="64" t="s">
        <v>278</v>
      </c>
      <c r="D34" s="2" t="s">
        <v>279</v>
      </c>
      <c r="E34" s="2"/>
      <c r="F34" s="2"/>
      <c r="G34" s="2"/>
      <c r="H34" s="2"/>
      <c r="I34" s="2"/>
      <c r="J34" s="2"/>
      <c r="K34" s="2"/>
      <c r="L34" s="2"/>
    </row>
    <row r="35" spans="2:12" ht="39.75" customHeight="1" x14ac:dyDescent="0.2">
      <c r="B35" s="69" t="s">
        <v>193</v>
      </c>
      <c r="C35" s="64" t="s">
        <v>280</v>
      </c>
      <c r="D35" s="2" t="s">
        <v>281</v>
      </c>
      <c r="E35" s="2"/>
      <c r="F35" s="2"/>
      <c r="G35" s="2"/>
      <c r="H35" s="2"/>
      <c r="I35" s="2"/>
      <c r="J35" s="2"/>
      <c r="K35" s="2"/>
      <c r="L35" s="2"/>
    </row>
    <row r="36" spans="2:12" ht="39.75" customHeight="1" x14ac:dyDescent="0.2">
      <c r="B36" s="69" t="s">
        <v>193</v>
      </c>
      <c r="C36" s="64" t="s">
        <v>282</v>
      </c>
      <c r="D36" s="2" t="s">
        <v>283</v>
      </c>
      <c r="E36" s="2"/>
      <c r="F36" s="2"/>
      <c r="G36" s="2"/>
      <c r="H36" s="2"/>
      <c r="I36" s="2"/>
      <c r="J36" s="2"/>
      <c r="K36" s="2"/>
      <c r="L36" s="2"/>
    </row>
  </sheetData>
  <mergeCells count="15">
    <mergeCell ref="B31:L31"/>
    <mergeCell ref="B32:L32"/>
    <mergeCell ref="D34:L34"/>
    <mergeCell ref="D35:L35"/>
    <mergeCell ref="D36:L36"/>
    <mergeCell ref="C8:L8"/>
    <mergeCell ref="B10:L10"/>
    <mergeCell ref="B11:L11"/>
    <mergeCell ref="B22:L22"/>
    <mergeCell ref="B23:L23"/>
    <mergeCell ref="B2:L2"/>
    <mergeCell ref="B4:L4"/>
    <mergeCell ref="B5:L5"/>
    <mergeCell ref="C6:L6"/>
    <mergeCell ref="C7:L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Premissas &amp; Custos</vt:lpstr>
      <vt:lpstr>Produção PCP</vt:lpstr>
      <vt:lpstr>Análise Demanda &amp; Bias</vt:lpstr>
      <vt:lpstr>Plano Produção &amp; Transferência</vt:lpstr>
      <vt:lpstr>Análise de Custos</vt:lpstr>
      <vt:lpstr>Análise de Riscos</vt:lpstr>
      <vt:lpstr>Recomendação Executiva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Siqueira</cp:lastModifiedBy>
  <cp:revision>0</cp:revision>
  <dcterms:created xsi:type="dcterms:W3CDTF">2026-03-11T18:36:34Z</dcterms:created>
  <dcterms:modified xsi:type="dcterms:W3CDTF">2026-03-11T18:53:31Z</dcterms:modified>
  <dc:language>en-US</dc:language>
</cp:coreProperties>
</file>